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rvela\Desktop\Rocio\Plasticos ROSSO\"/>
    </mc:Choice>
  </mc:AlternateContent>
  <xr:revisionPtr revIDLastSave="0" documentId="13_ncr:1_{50285BAA-9740-4E0C-82F4-F250584BFB3C}" xr6:coauthVersionLast="47" xr6:coauthVersionMax="47" xr10:uidLastSave="{00000000-0000-0000-0000-000000000000}"/>
  <bookViews>
    <workbookView xWindow="-108" yWindow="-108" windowWidth="23256" windowHeight="12456" tabRatio="831" xr2:uid="{00000000-000D-0000-FFFF-FFFF00000000}"/>
  </bookViews>
  <sheets>
    <sheet name="Plasticos Rosso" sheetId="33" r:id="rId1"/>
    <sheet name="Actualizaciones" sheetId="14" r:id="rId2"/>
    <sheet name="Tabla de Valoración " sheetId="2" r:id="rId3"/>
    <sheet name="Lista Riesgos !" sheetId="4" r:id="rId4"/>
    <sheet name="Lista Riesgos" sheetId="3" r:id="rId5"/>
    <sheet name="EFECTOS" sheetId="5" r:id="rId6"/>
  </sheets>
  <externalReferences>
    <externalReference r:id="rId7"/>
  </externalReferences>
  <definedNames>
    <definedName name="_xlnm._FilterDatabase" localSheetId="0" hidden="1">'Plasticos Rosso'!$A$8:$IL$27</definedName>
    <definedName name="_xlnm.Print_Area" localSheetId="2">'Tabla de Valoración '!$A$1:$G$138</definedName>
    <definedName name="descripción">'[1]4. Lista de Peligros'!$C$4:$C$108</definedName>
    <definedName name="efectos">'[1]4. Lista de Peligros'!$D$4:$D$108</definedName>
    <definedName name="Riesgo1">'[1]4. Lista de Peligros'!$E$3:$E$19</definedName>
    <definedName name="_xlnm.Print_Titles" localSheetId="4">'Lista Riesgos'!$2:$2</definedName>
    <definedName name="Z_6CD8EE95_0586_4107_AE22_F2D40A88A29B_.wvu.PrintTitles" localSheetId="4" hidden="1">'Lista Riesgos'!$2:$2</definedName>
  </definedNames>
  <calcPr calcId="191029"/>
  <customWorkbookViews>
    <customWorkbookView name="Salud Ocupacional Bogota - Vista personalizada" guid="{6CD8EE95-0586-4107-AE22-F2D40A88A29B}" mergeInterval="0" personalView="1" maximized="1" windowWidth="1020" windowHeight="553" activeSheetId="1"/>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6" i="33" l="1"/>
  <c r="AL26" i="33" s="1"/>
  <c r="Z26" i="33"/>
  <c r="P26" i="33"/>
  <c r="S26" i="33" s="1"/>
  <c r="P24" i="33"/>
  <c r="Q24" i="33" s="1"/>
  <c r="Z24" i="33"/>
  <c r="AK24" i="33"/>
  <c r="AN24" i="33" s="1"/>
  <c r="AO24" i="33" s="1"/>
  <c r="AP24" i="33" s="1"/>
  <c r="AL24" i="33"/>
  <c r="AK22" i="33"/>
  <c r="AN22" i="33" s="1"/>
  <c r="AO22" i="33" s="1"/>
  <c r="AP22" i="33" s="1"/>
  <c r="Z22" i="33"/>
  <c r="P22" i="33"/>
  <c r="S22" i="33" s="1"/>
  <c r="AK18" i="33"/>
  <c r="AN18" i="33" s="1"/>
  <c r="AO18" i="33" s="1"/>
  <c r="AP18" i="33" s="1"/>
  <c r="Z18" i="33"/>
  <c r="P18" i="33"/>
  <c r="S18" i="33" s="1"/>
  <c r="AK15" i="33"/>
  <c r="AN15" i="33" s="1"/>
  <c r="AO15" i="33" s="1"/>
  <c r="AP15" i="33" s="1"/>
  <c r="Z15" i="33"/>
  <c r="P15" i="33"/>
  <c r="S15" i="33" s="1"/>
  <c r="AQ15" i="33" s="1"/>
  <c r="Z13" i="33"/>
  <c r="AK12" i="33"/>
  <c r="AN12" i="33" s="1"/>
  <c r="AO12" i="33" s="1"/>
  <c r="AP12" i="33" s="1"/>
  <c r="Z12" i="33"/>
  <c r="P12" i="33"/>
  <c r="S12" i="33" s="1"/>
  <c r="Q26" i="33" l="1"/>
  <c r="AQ26" i="33"/>
  <c r="T26" i="33"/>
  <c r="U26" i="33" s="1"/>
  <c r="AN26" i="33"/>
  <c r="AO26" i="33" s="1"/>
  <c r="AP26" i="33" s="1"/>
  <c r="S24" i="33"/>
  <c r="AQ22" i="33"/>
  <c r="AR22" i="33" s="1"/>
  <c r="T22" i="33"/>
  <c r="U22" i="33" s="1"/>
  <c r="Q22" i="33"/>
  <c r="AL22" i="33"/>
  <c r="AQ18" i="33"/>
  <c r="AR18" i="33" s="1"/>
  <c r="T18" i="33"/>
  <c r="U18" i="33" s="1"/>
  <c r="Q18" i="33"/>
  <c r="AL18" i="33"/>
  <c r="AR15" i="33"/>
  <c r="Q15" i="33"/>
  <c r="T15" i="33"/>
  <c r="U15" i="33" s="1"/>
  <c r="AL15" i="33"/>
  <c r="AQ12" i="33"/>
  <c r="AR12" i="33" s="1"/>
  <c r="T12" i="33"/>
  <c r="U12" i="33" s="1"/>
  <c r="Q12" i="33"/>
  <c r="AL12" i="33"/>
  <c r="AR26" i="33" l="1"/>
  <c r="T24" i="33"/>
  <c r="U24" i="33" s="1"/>
  <c r="AQ24" i="33"/>
  <c r="AR24" i="33" s="1"/>
  <c r="AK13" i="33"/>
  <c r="AN13" i="33" s="1"/>
  <c r="AO13" i="33" s="1"/>
  <c r="AP13" i="33" s="1"/>
  <c r="P13" i="33"/>
  <c r="S13" i="33" s="1"/>
  <c r="AK14" i="33"/>
  <c r="AN14" i="33" s="1"/>
  <c r="AO14" i="33" s="1"/>
  <c r="AP14" i="33" s="1"/>
  <c r="Z14" i="33"/>
  <c r="P14" i="33"/>
  <c r="S14" i="33" s="1"/>
  <c r="AQ13" i="33" l="1"/>
  <c r="AR13" i="33" s="1"/>
  <c r="T13" i="33"/>
  <c r="U13" i="33" s="1"/>
  <c r="Q13" i="33"/>
  <c r="AL13" i="33"/>
  <c r="AQ14" i="33"/>
  <c r="AR14" i="33" s="1"/>
  <c r="T14" i="33"/>
  <c r="U14" i="33" s="1"/>
  <c r="Q14" i="33"/>
  <c r="AL14" i="33"/>
  <c r="AK27" i="33" l="1"/>
  <c r="AN27" i="33" s="1"/>
  <c r="AO27" i="33" s="1"/>
  <c r="AP27" i="33" s="1"/>
  <c r="P27" i="33"/>
  <c r="S27" i="33" s="1"/>
  <c r="AK25" i="33"/>
  <c r="AN25" i="33" s="1"/>
  <c r="AO25" i="33" s="1"/>
  <c r="AP25" i="33" s="1"/>
  <c r="Z25" i="33"/>
  <c r="P25" i="33"/>
  <c r="AK23" i="33"/>
  <c r="Z23" i="33"/>
  <c r="P23" i="33"/>
  <c r="AK21" i="33"/>
  <c r="AN21" i="33" s="1"/>
  <c r="AO21" i="33" s="1"/>
  <c r="AP21" i="33" s="1"/>
  <c r="Z21" i="33"/>
  <c r="P21" i="33"/>
  <c r="S21" i="33" s="1"/>
  <c r="AK20" i="33"/>
  <c r="Z20" i="33"/>
  <c r="P20" i="33"/>
  <c r="AK19" i="33"/>
  <c r="Z19" i="33"/>
  <c r="P19" i="33"/>
  <c r="Q19" i="33" s="1"/>
  <c r="AK17" i="33"/>
  <c r="Z17" i="33"/>
  <c r="P17" i="33"/>
  <c r="S17" i="33" s="1"/>
  <c r="AK16" i="33"/>
  <c r="AL16" i="33" s="1"/>
  <c r="Z16" i="33"/>
  <c r="P16" i="33"/>
  <c r="AK11" i="33"/>
  <c r="AN11" i="33" s="1"/>
  <c r="AO11" i="33" s="1"/>
  <c r="AP11" i="33" s="1"/>
  <c r="Z11" i="33"/>
  <c r="P11" i="33"/>
  <c r="AK10" i="33"/>
  <c r="AN10" i="33" s="1"/>
  <c r="AO10" i="33" s="1"/>
  <c r="AP10" i="33" s="1"/>
  <c r="Z10" i="33"/>
  <c r="P10" i="33"/>
  <c r="AK9" i="33"/>
  <c r="Z9" i="33"/>
  <c r="P9" i="33"/>
  <c r="S9" i="33" l="1"/>
  <c r="AQ9" i="33" s="1"/>
  <c r="Q9" i="33"/>
  <c r="AN9" i="33"/>
  <c r="AO9" i="33" s="1"/>
  <c r="AP9" i="33" s="1"/>
  <c r="AL9" i="33"/>
  <c r="Q10" i="33"/>
  <c r="S10" i="33"/>
  <c r="AQ10" i="33" s="1"/>
  <c r="AR10" i="33" s="1"/>
  <c r="S11" i="33"/>
  <c r="AQ11" i="33" s="1"/>
  <c r="AR11" i="33" s="1"/>
  <c r="Q11" i="33"/>
  <c r="Q16" i="33"/>
  <c r="S16" i="33"/>
  <c r="AQ16" i="33" s="1"/>
  <c r="AN17" i="33"/>
  <c r="AO17" i="33" s="1"/>
  <c r="AP17" i="33" s="1"/>
  <c r="AL17" i="33"/>
  <c r="AL19" i="33"/>
  <c r="AN19" i="33"/>
  <c r="AO19" i="33" s="1"/>
  <c r="AP19" i="33" s="1"/>
  <c r="S20" i="33"/>
  <c r="Q20" i="33"/>
  <c r="AN20" i="33"/>
  <c r="AO20" i="33" s="1"/>
  <c r="AP20" i="33" s="1"/>
  <c r="AL20" i="33"/>
  <c r="S23" i="33"/>
  <c r="AQ23" i="33" s="1"/>
  <c r="Q23" i="33"/>
  <c r="AN23" i="33"/>
  <c r="AO23" i="33" s="1"/>
  <c r="AP23" i="33" s="1"/>
  <c r="AL23" i="33"/>
  <c r="Q25" i="33"/>
  <c r="S25" i="33"/>
  <c r="AQ25" i="33" s="1"/>
  <c r="AR25" i="33" s="1"/>
  <c r="AQ17" i="33"/>
  <c r="T17" i="33"/>
  <c r="U17" i="33" s="1"/>
  <c r="AQ27" i="33"/>
  <c r="AR27" i="33" s="1"/>
  <c r="T27" i="33"/>
  <c r="U27" i="33" s="1"/>
  <c r="AQ21" i="33"/>
  <c r="AR21" i="33" s="1"/>
  <c r="T21" i="33"/>
  <c r="U21" i="33" s="1"/>
  <c r="AL21" i="33"/>
  <c r="AL11" i="33"/>
  <c r="AN16" i="33"/>
  <c r="AO16" i="33" s="1"/>
  <c r="AP16" i="33" s="1"/>
  <c r="Q17" i="33"/>
  <c r="S19" i="33"/>
  <c r="AL27" i="33"/>
  <c r="Q21" i="33"/>
  <c r="Q27" i="33"/>
  <c r="AL10" i="33"/>
  <c r="AL25" i="33"/>
  <c r="AR9" i="33" l="1"/>
  <c r="T9" i="33"/>
  <c r="U9" i="33" s="1"/>
  <c r="T16" i="33"/>
  <c r="U16" i="33" s="1"/>
  <c r="T25" i="33"/>
  <c r="U25" i="33" s="1"/>
  <c r="T10" i="33"/>
  <c r="U10" i="33" s="1"/>
  <c r="T23" i="33"/>
  <c r="U23" i="33" s="1"/>
  <c r="T11" i="33"/>
  <c r="U11" i="33" s="1"/>
  <c r="AR17" i="33"/>
  <c r="AR23" i="33"/>
  <c r="AQ20" i="33"/>
  <c r="AR20" i="33" s="1"/>
  <c r="T20" i="33"/>
  <c r="U20" i="33" s="1"/>
  <c r="AQ19" i="33"/>
  <c r="AR19" i="33" s="1"/>
  <c r="T19" i="33"/>
  <c r="U19" i="33" s="1"/>
  <c r="AR16"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Evolucionar</author>
    <author>Maribel Mujica</author>
    <author>CESAR</author>
  </authors>
  <commentList>
    <comment ref="B7" authorId="0" shapeId="0" xr:uid="{00000000-0006-0000-0200-000001000000}">
      <text>
        <r>
          <rPr>
            <b/>
            <sz val="8"/>
            <color indexed="81"/>
            <rFont val="Tahoma"/>
            <family val="2"/>
          </rPr>
          <t>Evolucionar:</t>
        </r>
        <r>
          <rPr>
            <sz val="8"/>
            <color indexed="81"/>
            <rFont val="Tahoma"/>
            <family val="2"/>
          </rPr>
          <t xml:space="preserve">
LAS ACTIVIDADES SE ESPECIFICAN UNA POR UNA Y POR PUESTO DE TRABAJO O CARGO</t>
        </r>
      </text>
    </comment>
    <comment ref="C7" authorId="0" shapeId="0" xr:uid="{00000000-0006-0000-0200-000002000000}">
      <text>
        <r>
          <rPr>
            <b/>
            <sz val="8"/>
            <color indexed="81"/>
            <rFont val="Tahoma"/>
            <family val="2"/>
          </rPr>
          <t>Evolucionar:</t>
        </r>
        <r>
          <rPr>
            <sz val="8"/>
            <color indexed="81"/>
            <rFont val="Tahoma"/>
            <family val="2"/>
          </rPr>
          <t xml:space="preserve">
LAS TAREAS SE ESPECIFICAN UNA POR UNA Y POR PUESTO DE TRABAJO O CARGO</t>
        </r>
      </text>
    </comment>
    <comment ref="D7" authorId="0" shapeId="0" xr:uid="{00000000-0006-0000-0200-000003000000}">
      <text>
        <r>
          <rPr>
            <b/>
            <sz val="8"/>
            <color indexed="81"/>
            <rFont val="Tahoma"/>
            <family val="2"/>
          </rPr>
          <t>Evolucionar:</t>
        </r>
        <r>
          <rPr>
            <sz val="8"/>
            <color indexed="81"/>
            <rFont val="Tahoma"/>
            <family val="2"/>
          </rPr>
          <t xml:space="preserve">
LAS ACTIVIDADES SE ESPECIFICAN UNA POR UNA Y POR PUESTO DE TRABAJO O CARGO</t>
        </r>
      </text>
    </comment>
    <comment ref="N8" authorId="1" shapeId="0" xr:uid="{00000000-0006-0000-0200-000004000000}">
      <text>
        <r>
          <rPr>
            <sz val="8"/>
            <color indexed="81"/>
            <rFont val="Tahoma"/>
            <family val="2"/>
          </rPr>
          <t xml:space="preserve">
NIVEL DE DEFICIENCIA
10 Peligros que pueden generar incidentes
6 algunos peligros pueden generar incidentes
2 peligros generan incidentes poco significativos
SIN VALOR no hay peligro</t>
        </r>
      </text>
    </comment>
    <comment ref="O8" authorId="1" shapeId="0" xr:uid="{00000000-0006-0000-0200-000005000000}">
      <text>
        <r>
          <rPr>
            <sz val="8"/>
            <color indexed="81"/>
            <rFont val="Tahoma"/>
            <family val="2"/>
          </rPr>
          <t xml:space="preserve">
NIVEL DE EXPOSICION
4 el peligro se presenta varias veces en la jornada laboral
3 se presenta varias veces en la jornada durante corto tiempo
2 se presenta alguna vez durante la jornada laboral, durante corto tiempo
1 se presenta eventualmente</t>
        </r>
      </text>
    </comment>
    <comment ref="P8" authorId="1" shapeId="0" xr:uid="{00000000-0006-0000-0200-000006000000}">
      <text>
        <r>
          <rPr>
            <sz val="8"/>
            <color indexed="81"/>
            <rFont val="Tahoma"/>
            <family val="2"/>
          </rPr>
          <t xml:space="preserve">
NIVEL DE PROBABILIDAD
ND*NE</t>
        </r>
      </text>
    </comment>
    <comment ref="Q8" authorId="1" shapeId="0" xr:uid="{00000000-0006-0000-0200-000007000000}">
      <text>
        <r>
          <rPr>
            <sz val="8"/>
            <color indexed="81"/>
            <rFont val="Tahoma"/>
            <family val="2"/>
          </rPr>
          <t xml:space="preserve">
INTERPRETACION DEL NIVEL DE PROBABILIDAD
MUY ALTO: Entre 40 y 24
ALTO: Entre 20 y 10
MEDIO: Entre 8 y 6
BAJO: Entre 4 y 2</t>
        </r>
      </text>
    </comment>
    <comment ref="R8" authorId="1" shapeId="0" xr:uid="{00000000-0006-0000-0200-000008000000}">
      <text>
        <r>
          <rPr>
            <sz val="8"/>
            <color indexed="81"/>
            <rFont val="Tahoma"/>
            <family val="2"/>
          </rPr>
          <t xml:space="preserve">
NIVEL DE CONSECUENCIA
100 Muerte
60 Incapacidad parcial permanente invalidez
25 Incapacidad Laboral temporal
10 no requiere incapacidad</t>
        </r>
      </text>
    </comment>
    <comment ref="S8" authorId="1" shapeId="0" xr:uid="{00000000-0006-0000-0200-000009000000}">
      <text>
        <r>
          <rPr>
            <sz val="8"/>
            <color indexed="81"/>
            <rFont val="Tahoma"/>
            <family val="2"/>
          </rPr>
          <t xml:space="preserve">
NIVEL DE RIESGO E INTERVENCION
NRI= NP*NC
</t>
        </r>
      </text>
    </comment>
    <comment ref="T8" authorId="1" shapeId="0" xr:uid="{00000000-0006-0000-0200-00000A000000}">
      <text>
        <r>
          <rPr>
            <sz val="8"/>
            <color indexed="81"/>
            <rFont val="Tahoma"/>
            <family val="2"/>
          </rPr>
          <t xml:space="preserve">
INTERPRETACION DEL NIVEL DE RIESGO
4000 a 600= I
500 a 150= II
120 a 40= III
20= IV</t>
        </r>
      </text>
    </comment>
    <comment ref="U8" authorId="2" shapeId="0" xr:uid="{00000000-0006-0000-0200-00000B000000}">
      <text>
        <r>
          <rPr>
            <sz val="8"/>
            <color indexed="81"/>
            <rFont val="Tahoma"/>
            <family val="2"/>
          </rPr>
          <t>ACEPTABILIDAD
I No aceptable
II No aceptable o con control especifico
III Aceptable
IV Aceptable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adriana alarcon bermudez</author>
  </authors>
  <commentList>
    <comment ref="F2" authorId="0" shapeId="0" xr:uid="{00000000-0006-0000-0F00-000001000000}">
      <text>
        <r>
          <rPr>
            <b/>
            <sz val="8"/>
            <color indexed="81"/>
            <rFont val="Tahoma"/>
            <family val="2"/>
          </rPr>
          <t xml:space="preserve">Para determinar el nivel de probabilidad seguir formula: NP= ND x NE.
Donde:
</t>
        </r>
        <r>
          <rPr>
            <sz val="8"/>
            <color indexed="81"/>
            <rFont val="Tahoma"/>
            <family val="2"/>
          </rPr>
          <t>ND = Nivel de deficiencia.
NE = Nivel de exposición.
NP= Nivel de probabilidad.</t>
        </r>
      </text>
    </comment>
    <comment ref="F10" authorId="0" shapeId="0" xr:uid="{00000000-0006-0000-0F00-000002000000}">
      <text>
        <r>
          <rPr>
            <sz val="8"/>
            <color indexed="81"/>
            <rFont val="Tahoma"/>
            <family val="2"/>
          </rPr>
          <t xml:space="preserve">Formula. NR = NP x NC 
Donde.
NP= Nivel de probabilidad.
NC= Nivel de consecuencia.
</t>
        </r>
      </text>
    </comment>
  </commentList>
</comments>
</file>

<file path=xl/sharedStrings.xml><?xml version="1.0" encoding="utf-8"?>
<sst xmlns="http://schemas.openxmlformats.org/spreadsheetml/2006/main" count="890" uniqueCount="605">
  <si>
    <t>Versión: 0</t>
  </si>
  <si>
    <t>Ciudad</t>
  </si>
  <si>
    <t xml:space="preserve">BOGOTA </t>
  </si>
  <si>
    <t>Fecha de Evaluación</t>
  </si>
  <si>
    <t xml:space="preserve"> PROCESO/Y SUBPROCESO</t>
  </si>
  <si>
    <t xml:space="preserve">ACTIVIDAD </t>
  </si>
  <si>
    <t>TAREA</t>
  </si>
  <si>
    <t>CARGOS</t>
  </si>
  <si>
    <t>TIPO DE ACTIVIDAD</t>
  </si>
  <si>
    <t xml:space="preserve">CLASIFICACIÓN DEL PELIGRO </t>
  </si>
  <si>
    <t>DESCRIPCIÓN DEL PELIGRO</t>
  </si>
  <si>
    <t xml:space="preserve">FUENTE </t>
  </si>
  <si>
    <t>EFECTOS POSIBLES</t>
  </si>
  <si>
    <t>CONTROL EXISTENTE</t>
  </si>
  <si>
    <t>EVALUACION DEL RIESGO</t>
  </si>
  <si>
    <t>VALORACION DEL RIESGO</t>
  </si>
  <si>
    <t>CRITERIOS PARA ESTABLECER CONTROLES</t>
  </si>
  <si>
    <t>MEDIDAS DE INTERVENCIÓN</t>
  </si>
  <si>
    <t>FACTOR DE REDUCCION DEL RIESGO 
F=((Nrl-NRf)/Nrl*100)</t>
  </si>
  <si>
    <t>RUTINARIA</t>
  </si>
  <si>
    <t>NO RUTINARIA</t>
  </si>
  <si>
    <t>FUENTE</t>
  </si>
  <si>
    <t>MEDIO</t>
  </si>
  <si>
    <t>INDIVIDUO</t>
  </si>
  <si>
    <t xml:space="preserve">ND </t>
  </si>
  <si>
    <t>NE</t>
  </si>
  <si>
    <t>NP</t>
  </si>
  <si>
    <t>INP</t>
  </si>
  <si>
    <t>NC</t>
  </si>
  <si>
    <t>NRI</t>
  </si>
  <si>
    <t>INR</t>
  </si>
  <si>
    <t>ACEPTABILIDAD DEL RIESGO</t>
  </si>
  <si>
    <t>PERSONAL DIRECTO</t>
  </si>
  <si>
    <t>TEMPORALES/COOPERATIVAS.</t>
  </si>
  <si>
    <t>CONTRATISTAS</t>
  </si>
  <si>
    <t>VISITANTES</t>
  </si>
  <si>
    <t>N. EXPUESTOS</t>
  </si>
  <si>
    <t>HORAS EXPOSICION</t>
  </si>
  <si>
    <t>PEOR CONSECUENCIA</t>
  </si>
  <si>
    <t>EXISTENCIA REQUISITO LEGAL EXPECIFICO ASOCIADO (SI o No)</t>
  </si>
  <si>
    <t>ELIMINACIÓN</t>
  </si>
  <si>
    <t>SUSTITUCIÓN</t>
  </si>
  <si>
    <t>CONTROL  DE  INGENIERÍA</t>
  </si>
  <si>
    <t>NRf</t>
  </si>
  <si>
    <t>X</t>
  </si>
  <si>
    <t xml:space="preserve">Ninguna </t>
  </si>
  <si>
    <t xml:space="preserve">SI </t>
  </si>
  <si>
    <t>N/A</t>
  </si>
  <si>
    <t>SI</t>
  </si>
  <si>
    <t>FISICO</t>
  </si>
  <si>
    <t>TEMPERATURA (CALOR)</t>
  </si>
  <si>
    <t>Quemaduras</t>
  </si>
  <si>
    <t>CONDICIONES DE SEGURIDAD</t>
  </si>
  <si>
    <t>QUIMICO</t>
  </si>
  <si>
    <t>GASES Y VAPORES</t>
  </si>
  <si>
    <t>MECANICO</t>
  </si>
  <si>
    <t>FENOMENOS NATURALES</t>
  </si>
  <si>
    <t>Heridas, golpes, contusiones, muerte.</t>
  </si>
  <si>
    <t>NIVELDEFICIENCIA</t>
  </si>
  <si>
    <t>CONTROL ADMINISTRATIVO</t>
  </si>
  <si>
    <t>ELEMENTOS  DE  PROTECCIÓN   PERSONAL</t>
  </si>
  <si>
    <t xml:space="preserve">VIRUS, BACTERIAS </t>
  </si>
  <si>
    <t>Fatiga visual, cefalea, migraña, disminución de la destreza y precisión, deslumbramiento</t>
  </si>
  <si>
    <t>Migraña, perdida visual.</t>
  </si>
  <si>
    <t>Ninguna</t>
  </si>
  <si>
    <t>Ninguno</t>
  </si>
  <si>
    <t>PSICOSOCIAL</t>
  </si>
  <si>
    <t xml:space="preserve">Estrés laboral, migraña. </t>
  </si>
  <si>
    <t>Estrés laboral</t>
  </si>
  <si>
    <t>Lesiones del sistema osteomuscular, problemas circulatorios.</t>
  </si>
  <si>
    <t xml:space="preserve">Lesiones del sistema osteomuscular, </t>
  </si>
  <si>
    <t xml:space="preserve">Heridas
Quemaduras
Corto circuito
Incendio
</t>
  </si>
  <si>
    <t xml:space="preserve">Quemaduras, electrocución. </t>
  </si>
  <si>
    <t>LOCATIVO (ALMACENAMIENTO, ORDEN Y ASEO)</t>
  </si>
  <si>
    <t>Caídas, golpes, lesiones, fracturas.</t>
  </si>
  <si>
    <t>Fracturas, muerte</t>
  </si>
  <si>
    <t>PUBLICOS</t>
  </si>
  <si>
    <t>Perdidas humanas (muerte)
Perdida de objetos</t>
  </si>
  <si>
    <t>BIOLÓGICO</t>
  </si>
  <si>
    <t xml:space="preserve">RUIDO </t>
  </si>
  <si>
    <t>Disconfort auditivo, Cefalea, dificultad para la comunicación oral.</t>
  </si>
  <si>
    <t xml:space="preserve">Perdida auditiva.  </t>
  </si>
  <si>
    <t>ILUMINACION (LUZ VISIBLE POR EXCESO DEFICIENCIA)</t>
  </si>
  <si>
    <t xml:space="preserve">Iluminación artificial.
Iluminación natural </t>
  </si>
  <si>
    <t>Mantenimiento preventivo y correctivo
Limpieza de luminarias</t>
  </si>
  <si>
    <t>BIOMECANICO</t>
  </si>
  <si>
    <t>POSTURA PROLONGADA</t>
  </si>
  <si>
    <t xml:space="preserve">ELECTRICO </t>
  </si>
  <si>
    <t>TRANSITO</t>
  </si>
  <si>
    <t xml:space="preserve">Accidentes de Transito, heridas, caídas, aplastamiento, traumas, contusiones, fracturas, Muerte. </t>
  </si>
  <si>
    <t>Fatiga visual, cefalea, disminución de la destreza y precisión, deslumbramiento</t>
  </si>
  <si>
    <t>Fatiga, estrés</t>
  </si>
  <si>
    <t>Muerte, quemaduras, intoxicaciones.</t>
  </si>
  <si>
    <t>Fatiga, estrés, disminución de la destreza y precisión. Estados de ansiedad y/o depresión y trastornos del aparato digestivo.</t>
  </si>
  <si>
    <t>Fecha</t>
  </si>
  <si>
    <t>Actualización</t>
  </si>
  <si>
    <t>Se realizo la identificación por peligros</t>
  </si>
  <si>
    <t>Tabla No. 1 Determinación del nivel de deficiencia</t>
  </si>
  <si>
    <t>Nivel de deficiencia</t>
  </si>
  <si>
    <t>Valor de ND</t>
  </si>
  <si>
    <t>Significado</t>
  </si>
  <si>
    <t>Para determinar el NP se requiere:</t>
  </si>
  <si>
    <t>Muy alto (MA)</t>
  </si>
  <si>
    <t>Se ha (n) detectado peligro (s) que determina(n) como posible la generación de incidentes  o consecuencias muy significativas, o la eficacia del conjunto de medidas preventivas existentes respecto al riesgo es nula o no existe, o ambas.</t>
  </si>
  <si>
    <t>Alto (A)</t>
  </si>
  <si>
    <t>Se ha (n) detectada algún (os) peligro (s) que pueden dar lugar a consecuencias significativa (s), o la eficacia del conjunto de medidas preventivas existentes es baja, o ambas.</t>
  </si>
  <si>
    <t>Medio (M)</t>
  </si>
  <si>
    <t>Se han detectado peligros que pueden dar lugar a consecuencias poco significativas o de menor importancia, o la eficacia del conjunto de medidas preventivas existentes es moderada, o ambas.</t>
  </si>
  <si>
    <t>Bajo (B)</t>
  </si>
  <si>
    <t>No se asigna valor</t>
  </si>
  <si>
    <t>No se ha detectado consecuencia alguna, o la eficacia del conjunto de medidas preventivas existentes es alta, o ambas. El riesgo está controlado.</t>
  </si>
  <si>
    <t>Tabla No. 2  Determinación del nivel de exposición</t>
  </si>
  <si>
    <t>Nivel de exposición</t>
  </si>
  <si>
    <t>Valor de NE</t>
  </si>
  <si>
    <t>Para evaluar el nivel de riesgo (NR), se debería determinar lo siguiente:</t>
  </si>
  <si>
    <t>Continua (EC)</t>
  </si>
  <si>
    <t>La situación de exposición se presenta sin interrupción o varias veces con tiempo prolongado durante la jornada laboral</t>
  </si>
  <si>
    <t>Frecuente (EF)</t>
  </si>
  <si>
    <t>La situación de exposición se presenta varias veces durante la jornada laboral por tiempos cortos</t>
  </si>
  <si>
    <t>Ocasional (EO)</t>
  </si>
  <si>
    <t>La situación de exposición se presenta alguna vez durante la jornada laboral y por un período de tiempo corto</t>
  </si>
  <si>
    <t>Esporádica (EE)</t>
  </si>
  <si>
    <t>La situación de exposición se presenta de manera eventual</t>
  </si>
  <si>
    <t>Tabla No. 3  Determinación del nivel de probabilidad</t>
  </si>
  <si>
    <t>Nivel de probabilidad</t>
  </si>
  <si>
    <t>Nivel de exposición (NE)</t>
  </si>
  <si>
    <t>Nivel de deficiencia (ND)</t>
  </si>
  <si>
    <t>MA-40</t>
  </si>
  <si>
    <t>MA-30</t>
  </si>
  <si>
    <t>A-20</t>
  </si>
  <si>
    <t>A-10</t>
  </si>
  <si>
    <t>MA-24</t>
  </si>
  <si>
    <t>A-18</t>
  </si>
  <si>
    <t>A-12</t>
  </si>
  <si>
    <t>M-6</t>
  </si>
  <si>
    <t>M-8</t>
  </si>
  <si>
    <t>B-4</t>
  </si>
  <si>
    <t>B-2</t>
  </si>
  <si>
    <t>Tabla No. 4 Significado de los diferentes niveles de probabilidad</t>
  </si>
  <si>
    <t>Valor de NP</t>
  </si>
  <si>
    <t>Muy Alto (MA)</t>
  </si>
  <si>
    <t>Entre 40 y 24</t>
  </si>
  <si>
    <t>Situación deficiente con exposición continua o muy deficiente con exposición frecuente. Normalmente la materialización del riesgo ocurre con frecuencia</t>
  </si>
  <si>
    <t>Entre 20 y 10</t>
  </si>
  <si>
    <t>situación deficiente con exposición frecuente u ocasioanal, o bien situación muy deficiente con exposición ocasional o esporádica.  La materialización del riesgo es posible que suceda varias veces en la vida laboral.</t>
  </si>
  <si>
    <t>Entre 8 y 6</t>
  </si>
  <si>
    <t>Situación deficiente con exposición esporádica o bien situación mejorada con exposición continuada o frecuente.  Es posible que suceda el daño alguna vez.</t>
  </si>
  <si>
    <t>Entre 4 y 2</t>
  </si>
  <si>
    <t>Situación mejorable con exposición ocasional o esporádica, o situación sin anomalía destacable con cualquier nivel de exposición.  No es esperable que se materialice el riesgo, aunque puede ser concebible.</t>
  </si>
  <si>
    <t>Tabla No. 5 Determinación del nivel de consecuencia</t>
  </si>
  <si>
    <t>Nivel de consecuencias</t>
  </si>
  <si>
    <t>Valor NC</t>
  </si>
  <si>
    <t>Daños personales</t>
  </si>
  <si>
    <t>Mortal o catastrófico (M)</t>
  </si>
  <si>
    <t>Muerte (s)</t>
  </si>
  <si>
    <t>Muy grave (MG)</t>
  </si>
  <si>
    <t>Lesiones o enfermedades graves irreparables (incapacidad permanente parcial o invalidez)</t>
  </si>
  <si>
    <t>Grave (G)</t>
  </si>
  <si>
    <t>Lesiones o enfermedades con incapacidad laboral temporal (ILT)</t>
  </si>
  <si>
    <t>Leve (L)</t>
  </si>
  <si>
    <t>Lesiones o enfermedades que no requieren incapacidad</t>
  </si>
  <si>
    <t>Tabla No. 6 Determinación del nivel de riesgo</t>
  </si>
  <si>
    <t>Nivel de riesgo NR = NP x NC</t>
  </si>
  <si>
    <t>|</t>
  </si>
  <si>
    <t>40-24</t>
  </si>
  <si>
    <t>20-10</t>
  </si>
  <si>
    <t>8-6</t>
  </si>
  <si>
    <t>4-2</t>
  </si>
  <si>
    <t>Nivel de consecuencias (NC)</t>
  </si>
  <si>
    <t>I 4 000-2 400</t>
  </si>
  <si>
    <t>I 2 000-1 200</t>
  </si>
  <si>
    <t xml:space="preserve">I 800-600 </t>
  </si>
  <si>
    <t>II 400-200</t>
  </si>
  <si>
    <t>I 2 400-1 440</t>
  </si>
  <si>
    <t>I 1 200-600</t>
  </si>
  <si>
    <t>II 480 - 360</t>
  </si>
  <si>
    <t>II 200</t>
  </si>
  <si>
    <t>III 120</t>
  </si>
  <si>
    <t>I 1 000-600</t>
  </si>
  <si>
    <t>II 500 -250</t>
  </si>
  <si>
    <t>II 200 -150</t>
  </si>
  <si>
    <t>III 100 -50</t>
  </si>
  <si>
    <t>II 400-240</t>
  </si>
  <si>
    <t xml:space="preserve">II 200   </t>
  </si>
  <si>
    <t>III 80-60</t>
  </si>
  <si>
    <t>III 40  /  IV 20</t>
  </si>
  <si>
    <t xml:space="preserve">  III 100</t>
  </si>
  <si>
    <t>Tabla No. 7 Significado del nivel de riesgo</t>
  </si>
  <si>
    <t>Nivel de riesgo</t>
  </si>
  <si>
    <t>Valor de NR</t>
  </si>
  <si>
    <t>I</t>
  </si>
  <si>
    <t>400 - 600</t>
  </si>
  <si>
    <t>Situación crítica. Suspender actividades hasta que el riesgo esté bajo control. Intervención urgente</t>
  </si>
  <si>
    <t>II</t>
  </si>
  <si>
    <t>500 - 150</t>
  </si>
  <si>
    <t>Corregir y adoptar medidas de control de inmediato. Sin embargo, suspenda actividades si el nivel de riesgo está por encima o igual de 360</t>
  </si>
  <si>
    <t>III</t>
  </si>
  <si>
    <t>120 - 40</t>
  </si>
  <si>
    <t>Mejorar si es posible. Sería conveniente justificar la intervención y su rentabilidad.</t>
  </si>
  <si>
    <t>IV</t>
  </si>
  <si>
    <t>Mantener las medidas de control existentes, pero se deberían considerar soluciones o mejoras y se deben hacer comprobaciones periódicas para asegurar que el riesgo aún es aceptable.</t>
  </si>
  <si>
    <t>Tabla No. 8 Aceptabilidad del riesgo</t>
  </si>
  <si>
    <t>No aceptable</t>
  </si>
  <si>
    <t>No aceptable o aceptable con control específico</t>
  </si>
  <si>
    <t>Aceptable</t>
  </si>
  <si>
    <t>RIESGOS</t>
  </si>
  <si>
    <t>SEGURIDAD</t>
  </si>
  <si>
    <t>DESCRIPCIÓN</t>
  </si>
  <si>
    <t>Virus</t>
  </si>
  <si>
    <t>Ruido (impacto, intermitente y continuo)</t>
  </si>
  <si>
    <t>Polvos orgánicos e inorgánicos</t>
  </si>
  <si>
    <t>Gestión organizacional (estilo de mando, pago, contratación, participación, inducción y capacitación, bienestar social, evaluación del desempeño, manejo de cambios).</t>
  </si>
  <si>
    <t>Postura (prolongada, mantenida, forzada, anti gravitacionales)</t>
  </si>
  <si>
    <t>Mecánico (elementos de máquinas, herramientas, piezas a trabajar, materiales proyectados sólidos o fluidos, apertura de puertas, mantenimientos mecánicos)</t>
  </si>
  <si>
    <t>Sismo</t>
  </si>
  <si>
    <t>Bacterias</t>
  </si>
  <si>
    <t>Iluminación (luz visible por exceso o deficiencia)</t>
  </si>
  <si>
    <t>Fibras</t>
  </si>
  <si>
    <t>Características de la organización del trabajo (comunicación, tecnología, organización del trabajo, demandas cualitativas y cuantitativas de la labor).</t>
  </si>
  <si>
    <t>Sobre Esfuerzo</t>
  </si>
  <si>
    <t>Eléctrico (alta, media y baja tensión, estática)</t>
  </si>
  <si>
    <t>Terremoto</t>
  </si>
  <si>
    <t>Hongos</t>
  </si>
  <si>
    <t>Vibración (Cuerpo entero,  segmentaría)</t>
  </si>
  <si>
    <t>Líquidos (Nieblas y rocíos)</t>
  </si>
  <si>
    <t>Características del grupo social del trabajo (relaciones, cohesión, calidad de interacciones, trabajo en equipo).</t>
  </si>
  <si>
    <t>Movimiento repetitivo</t>
  </si>
  <si>
    <t>Locativo (sistemas y medios de almacenamiento), superficies de trabajo (irregulares, deslizantes con diferencia del nivel), condiciones de orden, aseo; manejo ambiental,(caída de objetos, proyección de partículas).</t>
  </si>
  <si>
    <t>Vendaval</t>
  </si>
  <si>
    <t>Ricketsias</t>
  </si>
  <si>
    <t>Gases y vapores</t>
  </si>
  <si>
    <t>Condiciones de la tarea (carga mental, contenido de la tarea, demandas emocionales, sistemas de control, definición de roles)</t>
  </si>
  <si>
    <t>Manipulación de cargas</t>
  </si>
  <si>
    <t>Tecnológico (explosión, fuga, derrame, incendio)</t>
  </si>
  <si>
    <t>Inundación</t>
  </si>
  <si>
    <t xml:space="preserve">Temperaturas extremas (calor y frió). </t>
  </si>
  <si>
    <t>Parásitos</t>
  </si>
  <si>
    <t>Presión atmosférica (normal y ajustada)</t>
  </si>
  <si>
    <t>Humos metálicos, no metálicos</t>
  </si>
  <si>
    <t>Interfase persona tarea (conocimientos, habilidades con relación a la demanda de la tarea, iniciativa, autonomía y reconocimiento, identificación de la persona con la tarea y la organización).</t>
  </si>
  <si>
    <t xml:space="preserve">Posturas prolongadas e inadecuadas. </t>
  </si>
  <si>
    <t>Accidentes de tránsito, Derrumbe en vías, Vías en mal estado.</t>
  </si>
  <si>
    <t>Derrumbe</t>
  </si>
  <si>
    <t>Picaduras</t>
  </si>
  <si>
    <t>Material Particulado</t>
  </si>
  <si>
    <t>Jornada de trabajo, turnos (pausas, trabajo nocturno, rotación, horas extras, descansos).</t>
  </si>
  <si>
    <t>Diseño del puesto de trabajo</t>
  </si>
  <si>
    <t>Públicos (robos, atracos, asaltos, de orden público, asonadas, manifestaciones, secuestros, bombas, Zonas de alto riesgo delincuenciario)</t>
  </si>
  <si>
    <t>Precipitaciones (lluvias, granizadas, heladas)</t>
  </si>
  <si>
    <t>Radiaciones ionizantes (rayos x, alfa, beta, gama)</t>
  </si>
  <si>
    <t>Mordeduras</t>
  </si>
  <si>
    <t>Radiaciones no ionizantes (láser, ultravioleta, infrarroja, microondas y radio frecuencia)</t>
  </si>
  <si>
    <t xml:space="preserve">Individuo, (estilos de afrontamiento frente al estrés), Rasgos de la personalidad. </t>
  </si>
  <si>
    <t>.</t>
  </si>
  <si>
    <t>Trabajo en alturas, Tareas de alto riesgo, Espacios confinados</t>
  </si>
  <si>
    <t>Sismo.</t>
  </si>
  <si>
    <t>Fluidos o excrementos</t>
  </si>
  <si>
    <t>Manejo de armas</t>
  </si>
  <si>
    <t>Tener en cuenta únicamente los peligros de fenómenos naturales que afectan la seguridad y bienestar de las personas en el desarrollo de una actividad. En el plan de emergencia de cada empresa, se considerarán todos los fenómenos naturales que puedan afectarla.</t>
  </si>
  <si>
    <t>Factor de Riesgo</t>
  </si>
  <si>
    <t>Peligros</t>
  </si>
  <si>
    <t>Descripción</t>
  </si>
  <si>
    <t>Efectos en la salud</t>
  </si>
  <si>
    <r>
      <t xml:space="preserve">Factores de riesgo Biológicos: </t>
    </r>
    <r>
      <rPr>
        <sz val="8"/>
        <rFont val="Calibri"/>
        <family val="2"/>
      </rPr>
      <t xml:space="preserve"> Todos aquellos seres vivos ya sean de origen animal o vegetal y todas aquellas sustancias derivadas de los mismos, presentes en el puesto de trabajo y que pueden ser susceptibles de provocar efectos negativos en la salud de los trabajadores.  Efectos negativos se pueden concertar en procesos infecciosos, tóxicos o alérgicos.</t>
    </r>
  </si>
  <si>
    <t>Biológico</t>
  </si>
  <si>
    <t xml:space="preserve">Derivados de origen animal (Pieles, pelo, estiércol, desechos, etc.)        </t>
  </si>
  <si>
    <t>Inhalación, contacto y consumo de pelos, plumas, excrementos, sustancias antigénicas (enzima, proteínas), larvas de invertebrados</t>
  </si>
  <si>
    <t xml:space="preserve">Enfermedades infecciosas, gastrointestinales, tóxicas, reacciones alérgicas y muerte.  </t>
  </si>
  <si>
    <t>Macroorganismos (Mordeduras, golpes, pisadas de animales, picadura de insectos, etc.)</t>
  </si>
  <si>
    <t xml:space="preserve">Contacto con seres vivos (roedores, serpientes, caballos, perros, gatos, etc.) por medio de mordedura, picadura, rasgadura y en general ataque de animales </t>
  </si>
  <si>
    <t>Golpes, traumas, heridas, infecciones, intoxicación, muerte</t>
  </si>
  <si>
    <t>Derivados de origen vegetal</t>
  </si>
  <si>
    <t>Inhalación, contacto y consumo de Polvo vegetal, Polen, Madera, Esporas fúngicas, Micotoxinas, Sustancias antigénicas (antibióticos, polisacáridos) incluye además Musgos, Helechos, Semillas, Derivados de Vegetales</t>
  </si>
  <si>
    <t>Enfermedades gastrointestinales, Intoxicaciones, reacciones alérgicas, muerte</t>
  </si>
  <si>
    <t>Microorganismos tipo  hongos, bacterias y/o virus</t>
  </si>
  <si>
    <t>Fungal producida por Hongos, Mónera por bacterias</t>
  </si>
  <si>
    <t>Dermatosis, reacciones alérgicas, enfermedades infectocontagiosas, alteraciones en los diferentes  sistemas, muerte.</t>
  </si>
  <si>
    <t>Protista producida por Ameba, Plasmodium</t>
  </si>
  <si>
    <r>
      <t xml:space="preserve">Factores de riesgo por Carga Física: </t>
    </r>
    <r>
      <rPr>
        <sz val="8"/>
        <rFont val="Calibri"/>
        <family val="2"/>
      </rPr>
      <t xml:space="preserve"> Se refiere a todos aquellos aspectos de la organización del trabajo, de la estación o puesto de trabajo y de su diseño que pueden alterar la relación del individuo con el objeto técnico produciendo problemas en el individuo, en la secuencia de uso o la producción.</t>
    </r>
  </si>
  <si>
    <t>Carga Física</t>
  </si>
  <si>
    <t>Carga dinámica por esfuerzos</t>
  </si>
  <si>
    <t>Producido por desplazamientos con carga y sin carga, al dejar o levantar cargas, cargas visuales y afección de otros grupos musculares</t>
  </si>
  <si>
    <t>Desordenes de trauma acumulativo, lesiones del sistema músculo esquelético, fatiga.</t>
  </si>
  <si>
    <t>Carga dinámica por movimientos repetitivos</t>
  </si>
  <si>
    <t>Se refiere a la realización de la labor con repeticiones frecuentes de Cuello, extremidades superiores, extremidades inferiores y tronco</t>
  </si>
  <si>
    <t>Carga dinámica por sobreesfuerzos de la voz</t>
  </si>
  <si>
    <t>Riesgo presente en la Alta exposición de uso de la voz en tiempo e intensidad</t>
  </si>
  <si>
    <t xml:space="preserve">Disfonías, pólipos y afecciones en garganta. </t>
  </si>
  <si>
    <t>Carga estática de pie</t>
  </si>
  <si>
    <t>Jornadas de alta duración estático de pie en la operación</t>
  </si>
  <si>
    <t>Desordenes de trauma acumulativo, lesiones del sistema músculo esquelético, fatiga, alteraciones lumbares, dorsales, cervicales y sacras, alteraciones del sistema vascular.</t>
  </si>
  <si>
    <t>Carga estática sentado</t>
  </si>
  <si>
    <t>Jornadas de alta duración estático sentado en la operación</t>
  </si>
  <si>
    <t>Desordenes de trauma acumulativo, lesiones del sistema músculo esquelético, fatiga, alteraciones del sistema vascular.</t>
  </si>
  <si>
    <t>Otras posturas (hiperextensión, cuclillas, posiciones incómodas, etc.)</t>
  </si>
  <si>
    <t>Otras Posturas subestandar en la realización de la tarea que generan extensión muscular, posiciones incomodas que comprometan forzar de forma excesiva y prolongada de articulaciones y posiciones no convencionales del cuerpo</t>
  </si>
  <si>
    <r>
      <t xml:space="preserve"> Factores de Riesgo Eléctricos:</t>
    </r>
    <r>
      <rPr>
        <sz val="8"/>
        <rFont val="Calibri"/>
        <family val="2"/>
      </rPr>
      <t xml:space="preserve">  se refiere a los sistemas eléctricos de las maquinas, los equipos que al entrar en contacto con las personas o las instalaciones y materiales pueden provocar lesiones a las personas y daños a la propiedad, muy baja, baja, media, alta y extra alta tensión. </t>
    </r>
  </si>
  <si>
    <t>Eléctrico</t>
  </si>
  <si>
    <t>Energía Eléctrica muy baja tensión (MBT)</t>
  </si>
  <si>
    <t xml:space="preserve">Riesgos de contacto o Arco eléctrico menores de 25V  </t>
  </si>
  <si>
    <t>Energía Eléctrica baja tensión (BT)</t>
  </si>
  <si>
    <t>Riesgos de contacto o Arco eléctrico mayor o igual  a 25V  y menor o igual a 1000V</t>
  </si>
  <si>
    <t>Fibrilación ventricular, quemaduras, tetanización, schok</t>
  </si>
  <si>
    <t>Energía Eléctrica Media Tensión ( MT) (mas 1000 V y menor de 57.5 KV)</t>
  </si>
  <si>
    <t>Riesgos de contacto o Arco eléctrico mayores de 1000V  e  inferior a 57KV</t>
  </si>
  <si>
    <t>Paro cardiaco, paro respiratorio, fibrilación ventricular, tetanización, quemaduras severas, muerte</t>
  </si>
  <si>
    <t>Energía Eléctrica Alta Tensión (AT) (Mayor o igual 57.5 KV y menor o igual de 230 KV)</t>
  </si>
  <si>
    <t>Riesgos de contacto o Arco eléctrico mayores o iguales a 57.5 KV y menores o iguales a 230 KV</t>
  </si>
  <si>
    <t>Energía Eléctrica Extraalta Tensión (EAT)  (mayor de 230 KV)</t>
  </si>
  <si>
    <t>Riesgos de contacto o Arco eléctrico mayores de 230 KV</t>
  </si>
  <si>
    <t>Energía Estática</t>
  </si>
  <si>
    <t>Fenómeno asociado con la aparición de una carga eléctrica en la superficie de un cuerpo aislante o en cuerpo conductor aislado. Se genera por el contacto o fricción y la separación entre dos materiales generalmente diferentes y no necesariamente aislantes, siendo uno de ellos mal conductor de la electricidad y se materializan en la salud como: Molestias derivadas de descargas electrostáticas entre las personas y entre las mismas y otros objetos cercanos conductores. Riesgo de incendio y de explosión si la descarga ocurre en la presencia de una atmósfera inflamable (niebla, vapor o gas inflamable, polvo combustible en el aire).</t>
  </si>
  <si>
    <t>Fibrilación ventricular, quemaduras, tetanización, schok, golpes, heridas, contusiones.</t>
  </si>
  <si>
    <r>
      <t xml:space="preserve">Factores de Riesgo Físico: </t>
    </r>
    <r>
      <rPr>
        <sz val="8"/>
        <rFont val="Calibri"/>
        <family val="2"/>
      </rPr>
      <t>Son todos aquellos factores ambientales de naturaleza física que pueden provocar efectos adversos a la salud según sea la intensidad, exposición y concentración de los mismos.</t>
    </r>
  </si>
  <si>
    <t>Físico</t>
  </si>
  <si>
    <t>Iluminación Deficiente y/o en Exceso</t>
  </si>
  <si>
    <t xml:space="preserve">Define el exceso o defecto de luz por tipo de actividad y regulado en Colombia por el RETILAP </t>
  </si>
  <si>
    <t xml:space="preserve">Radiaciones Ionizantes ( rayos X, alfa, beta y gama) </t>
  </si>
  <si>
    <r>
      <t>Radiaciones electromagnéticas o corpusculares capaces de producir iones</t>
    </r>
    <r>
      <rPr>
        <i/>
        <sz val="8"/>
        <color indexed="8"/>
        <rFont val="Calibri"/>
        <family val="2"/>
      </rPr>
      <t xml:space="preserve"> </t>
    </r>
    <r>
      <rPr>
        <sz val="8"/>
        <color indexed="8"/>
        <rFont val="Calibri"/>
        <family val="2"/>
      </rPr>
      <t xml:space="preserve">emitidas por los aceleradores de partículas, las substancias radiactivas (alfa y beta), los rayos gamma, rayos X, así como los neutrinos .Entre más alto sea este nivel de energía, mayor probabilidad tendrá de penetrar en los tejidos y ocasionar daños para la salud, agudos o crónicos. </t>
    </r>
  </si>
  <si>
    <t>Alteraciones en tejidos blandos, quemaduras, cáncer, malformaciones congénitas y alteración de células madres.</t>
  </si>
  <si>
    <t xml:space="preserve">Radiaciones no ionizantes (microondas, infrarroja, radiofrecuencias, etc.) </t>
  </si>
  <si>
    <t xml:space="preserve">Radiación de microondas, infrarroja, radiofrecuencias, de luz visible, ultravioleta y láser. </t>
  </si>
  <si>
    <t>Alteraciones de la piel, deshidratación, alteración en algunos tejidos blandos (ojos).</t>
  </si>
  <si>
    <t>Ruido</t>
  </si>
  <si>
    <t>Presencia de ruido mayor o igual a 80 db(A) definido por los límites permisibles dependiendo de la exposición al riesgo en tiempo y al tipo de ruido.</t>
  </si>
  <si>
    <t>Pérdida auditiva inducida por ruido</t>
  </si>
  <si>
    <t>Temperaturas extremas por calor</t>
  </si>
  <si>
    <t>Exposición a altos niveles de calor radiante o dirigido considerados altos si la temperatura profunda del cuerpo se incrementa a más de 42 grados centígrados, es decir, se aumenta mas o menos en 5 grados. Principalmente producidas por generación de calor por hornos, equipos y ambiente externo</t>
  </si>
  <si>
    <t>Fatiga que puede producir disminución de la vigilancia, la destreza manual y la rapidez, mareos, desmayos por deshidratación, agravamiento de trastornos cardiovasculares.</t>
  </si>
  <si>
    <t>Temperaturas extremas por frío</t>
  </si>
  <si>
    <t>Perdida de calor corporal por exposición a ambientes por debajo de los límites, generadores de estrés por frío,  generalmente presentes en refrigeradores, congeladores y ambiente externo</t>
  </si>
  <si>
    <t>Fatiga, problemas cardiovasculares,  
Alteraciones vasculares y nerviosas. Otras que incluyeron en los otros PFR como fatiga etc.</t>
  </si>
  <si>
    <t>Disconfort térmico por calor</t>
  </si>
  <si>
    <t xml:space="preserve">Exposición a condiciones termohigrométricas (Temperatura ambiental, Humedad relativa y Velocidad del aire). Generado por situaciones naturales  o antrópicas. </t>
  </si>
  <si>
    <t>Disconfort térmico por frío</t>
  </si>
  <si>
    <t>Vibraciones</t>
  </si>
  <si>
    <t>Clasificadas por Alta frecuencia (20 – 1000 Hz): Herramientas manuales rotativas o alternativas, eléctricas y neumáticas, o percutoras. Baja frecuencia (1-20 Hz): puente-grúas, trenes, tractores y maquinaria agrícola, muy baja frecuencia (menos de 1 Hz): Aviones, trenes, barco,
automóviles.</t>
  </si>
  <si>
    <t>Trastornos articulares, daños vasculares (venosos y arteriales), alteración del sistema nervioso central, perdida de la capacidad auditiva, dolor de espalda, debilitación de la capacidad de agarre, disminución de la sensación y habilidad de las manos, blanqueo de los dedos o "dedos blancos", síndrome del túnel carpiano, trastornos de visión por resonancia, sindrome de Raynaud.</t>
  </si>
  <si>
    <t>Presiones barométricas altas</t>
  </si>
  <si>
    <t>Cuando  se desciende del nivel del mar la presión aumenta y se produce una expansión o concentración de los espacios huecos del cuerpo, lo cual puede producirse durante la descompresión en el descenso o la comprensión en el descenso.</t>
  </si>
  <si>
    <t>Barotrauma (Barotitis media y externa, Barosinusitis, barodontalgía, Barotrauma de careta), embolia cerebral y síndrome de descompresión. Muerte</t>
  </si>
  <si>
    <t>Presiones barométricas bajas</t>
  </si>
  <si>
    <t xml:space="preserve">Cuando se asciende sobre el nivel del mar la presión barométrica baja en mm de Hg. Esta disminución es la causa básica de todos los problemas de falta de oxigeno en las grandes alturas, pues cada vez que baja la presión lo hace proporcionalmente al oxigeno. </t>
  </si>
  <si>
    <t>Fatiga, pecho comprimido, dolor abdominal, dolor en oídos, edema pulmonar, edema cerebral, síndrome de descompresión, asfixia e hipoxia y muerte.</t>
  </si>
  <si>
    <r>
      <t xml:space="preserve">Factores de Riesgo Físico - Químico: </t>
    </r>
    <r>
      <rPr>
        <sz val="8"/>
        <rFont val="Calibri"/>
        <family val="2"/>
      </rPr>
      <t>Riesgo generado por la combinación de las condiciones físicas y químicas de los procesos y que pongan en serio riesgo de incendio y explosión a la organización</t>
    </r>
  </si>
  <si>
    <t>Físico - Químico</t>
  </si>
  <si>
    <t>Materiales y sustancias combustibles</t>
  </si>
  <si>
    <t xml:space="preserve">Sólidos o sustancias susceptible a combinarse con el oxígeno de forma rápida y exotérmica. </t>
  </si>
  <si>
    <t>Quemaduras, amputaciones, alteraciones de órganos y sentidos, muerte.</t>
  </si>
  <si>
    <t>Sustancias inflamables</t>
  </si>
  <si>
    <t>Sustancias:
- Sustancias con bajo punto de ignición menor de 18*c (las de mayor riesgo)
- Sustancias con punto de ignición intermedio que va desde 18 a 21* c
- Sustancias con un elevado punto de ignición de 23 a 61*c</t>
  </si>
  <si>
    <t>Materiales y sustancias explosivas</t>
  </si>
  <si>
    <t xml:space="preserve">Son sustancias sólidas o líquidas, o mezclas de ellas, que por sí mismas son capaces de reaccionar químicamente produciendo gases a tales temperaturas, presiones y velocidades que pueden ocasionar daños graves en los alrededores. </t>
  </si>
  <si>
    <r>
      <t xml:space="preserve">Factores de riesgos locativos:  </t>
    </r>
    <r>
      <rPr>
        <sz val="8"/>
        <rFont val="Calibri"/>
        <family val="2"/>
      </rPr>
      <t>Condiciones de las instalaciones o áreas de trabajo que bajo circunstancias no adecuadas pueden ocasionar accidentes de trabajo o pérdidas para la empresa.</t>
    </r>
  </si>
  <si>
    <t xml:space="preserve">Locativo </t>
  </si>
  <si>
    <t>Pisos.</t>
  </si>
  <si>
    <t xml:space="preserve">Tiene que ver con las instalaciones físicas de la edificación que generan riesgo en las personas, tanto en la construcción como en la condición actual, tiene alcance a la estructura, mampostería y acabados. </t>
  </si>
  <si>
    <t>Golpes, heridas, contusiones, fracturas, esguinces, luxaciones, muerte</t>
  </si>
  <si>
    <t>Plataformas</t>
  </si>
  <si>
    <t>Techos.</t>
  </si>
  <si>
    <t>Paredes, muros, divisiones.</t>
  </si>
  <si>
    <t>Estructura (vigas, Columnas, etc.).</t>
  </si>
  <si>
    <t xml:space="preserve">Cielorrasos, cielos falsos. </t>
  </si>
  <si>
    <t>Ventanas, claraboyas</t>
  </si>
  <si>
    <t>Puertas.</t>
  </si>
  <si>
    <t>Rampas.</t>
  </si>
  <si>
    <t xml:space="preserve">Escalas, escaleras. </t>
  </si>
  <si>
    <t xml:space="preserve">Pasamanos, barandas. </t>
  </si>
  <si>
    <t>Almacenamiento</t>
  </si>
  <si>
    <t>Se refiere a las condiciones generales de seguridad en el almacenamiento y bodegaje, instalaciones y disposición de estanterías y acceso</t>
  </si>
  <si>
    <t>Orden y aseo</t>
  </si>
  <si>
    <t>Se refiere a las deficiencias de las condiciones generales o especificas del orden y el aseo de lugares, áreas o procesos.</t>
  </si>
  <si>
    <r>
      <t xml:space="preserve">Factores de riesgo mecánico: </t>
    </r>
    <r>
      <rPr>
        <sz val="8"/>
        <rFont val="Calibri"/>
        <family val="2"/>
      </rPr>
      <t xml:space="preserve"> Objetos, máquinas, equipos, herramientas que por sus condiciones de funcionamiento, diseño o por la forma, tamaño, ubicación y disposición del ultimo tienen la capacidad potencial de entrar en contacto con las personas o materiales, provocando lesiones en los primeros o daños en los segundos.</t>
    </r>
  </si>
  <si>
    <t>Mecánico</t>
  </si>
  <si>
    <t xml:space="preserve">Izaje y cargas suspendidas </t>
  </si>
  <si>
    <t>Trabajos con grúas, plumas, puente grúa, torre grúa diferenciales, polipastos y demás, y que genere riesgo de caída de los objetos suspendidos en el aire o del equipo mismo</t>
  </si>
  <si>
    <t>Golpes, contusiones, heridas, fracturas, muerte</t>
  </si>
  <si>
    <t>Superficies calientes</t>
  </si>
  <si>
    <t>Manipulación o contacto con equipos, herramientas, instalaciones y producto luego de adquirir por medios externos o internos temperaturas elevadas</t>
  </si>
  <si>
    <t>Quemaduras, laceraciones.</t>
  </si>
  <si>
    <t>Partes en movimiento, sistemas de transmisión y puntos de operación.</t>
  </si>
  <si>
    <t>Riesgo generado por el potencial de atrapamiento de segmentos corporales por medio de sistemas en movimiento</t>
  </si>
  <si>
    <t>Heridas, amputaciones, trastornos de tejidos blandos, golpes, fracturas, muerte</t>
  </si>
  <si>
    <t>Proyección de partículas</t>
  </si>
  <si>
    <t>Exposición  partículas de polvo, proyección de objetos, partículas y fluidos.</t>
  </si>
  <si>
    <t>Golpes, fracturas, heridas</t>
  </si>
  <si>
    <t xml:space="preserve">Objetos que caen, ruedan, se deslizan, se movilizan.  </t>
  </si>
  <si>
    <t>Contacto con objetos que: caen, se derrumban, deslizan, se transportan, etc.</t>
  </si>
  <si>
    <t>Heridas, amputaciones, laceraciones, muerte</t>
  </si>
  <si>
    <t>Superficies o herramientas cortantes</t>
  </si>
  <si>
    <t>Contacto con superficies o herramientas cortantes</t>
  </si>
  <si>
    <t>Heridas, amputaciones, laceraciones</t>
  </si>
  <si>
    <t>Manejo de equipos, máquinas y herramientas manuales</t>
  </si>
  <si>
    <t>Contacto con equipos, máquinas y herramientas manuales</t>
  </si>
  <si>
    <t>Heridas, amputaciones, laceraciones.</t>
  </si>
  <si>
    <r>
      <t xml:space="preserve"> Factores de riesgo psicosociales:  </t>
    </r>
    <r>
      <rPr>
        <sz val="8"/>
        <rFont val="Calibri"/>
        <family val="2"/>
      </rPr>
      <t>Se refiere a aquellos aspectos intrínsecos y organizativos del trabajo y a las interrelaciones humanas que al interactuar con factores humanos endógenos (edad patrimonio genético, antecedentes sicológicos) y exógenos (vida familiar, cultural...etc.), tienen la capacidad potencial de producir cambios sociológicos del comportamiento (agresividad, ansiedad, satisfacción) o trastornos físicos o psicosomáticos (fatiga, dolor de cabeza, hombros, cuello, espalda, propensión a la úlcera gástrica, la hipertensión, la cardiopatía, envejecimiento acelerado).</t>
    </r>
  </si>
  <si>
    <t>Psicosocial</t>
  </si>
  <si>
    <t>Factores intralaborales, Factores extralaborales, Factores individuales</t>
  </si>
  <si>
    <t>Para Identificar el Riesgo Psicosocial, evaluar con la "Guía de autoanálisis" que se encuentra  en el Micrositio de la pagina ARP SURA</t>
  </si>
  <si>
    <t>Fatiga, estrés, disminución de la destreza y precisión. Estados de ansiedad y/o depresión y transtornos del aparato digestivo.</t>
  </si>
  <si>
    <t xml:space="preserve">Factor de Riesgo Público:  </t>
  </si>
  <si>
    <t xml:space="preserve">Públicos </t>
  </si>
  <si>
    <t>Situación de atraco, robo u otras situaciones de violencia</t>
  </si>
  <si>
    <t>Situaciones que atentan contra la seguridad física de las personas por violencia generada desde terceros para efectos de robo, estafa, secuestro, etc.</t>
  </si>
  <si>
    <t>Tránsito</t>
  </si>
  <si>
    <t>Movilización peatonal</t>
  </si>
  <si>
    <t xml:space="preserve">Incluye los riesgos generados por contacto en condición de peatón con vehículos de transporte de personas o mercancías. </t>
  </si>
  <si>
    <t>Muerte, fracturas, contusiones, laceraciones.</t>
  </si>
  <si>
    <t>Transporte de personas</t>
  </si>
  <si>
    <t>Incluye los riesgo generados por la operación de vehículos destinados para el transporte de personas, donde se hace fundamental programas de mantenimiento preventivo y correctivo y formación y entrenamiento en conducción segura y manejo defensivo</t>
  </si>
  <si>
    <t>Transporte de mercancías</t>
  </si>
  <si>
    <t>Incluye los riesgo generados por la operación de vehículos de carga en su magnitud, donde se hace fundamental programas de mantenimiento preventivo y correctivo y formación y entrenamiento en conducción segura y manejo defensivo</t>
  </si>
  <si>
    <r>
      <t xml:space="preserve">Factores de riesgo químico:  </t>
    </r>
    <r>
      <rPr>
        <sz val="8"/>
        <rFont val="Calibri"/>
        <family val="2"/>
      </rPr>
      <t>Toda sustancia orgánica e inorgánica, natural o sintética que durante la fabricación, manejo, transporte, almacenamiento o uso, puede incorporarse al aire ambiente en forma de aerosoles (sólidos y líquidos), gases y vapores, con efectos irritantes, corrosivos, asfixiantes o tóxicos y en cantidades que tengan probabilidades de lesionar la salud de las personas que entran en contacto con ellas.</t>
    </r>
  </si>
  <si>
    <t>Químicos</t>
  </si>
  <si>
    <t>Líquidos (nieblas y rocíos)</t>
  </si>
  <si>
    <t xml:space="preserve">Principales fuentes generadoras: Ebullición, Limpieza con Vapor de agua, Pinturas, solventes, etc. </t>
  </si>
  <si>
    <t>Quemaduras, Trastornos inespecíficos del sistema nervioso, daño auditivo, daño respiratorio, daño hepático, daño renal, daño dermatológico, cáncer y muerte.</t>
  </si>
  <si>
    <t xml:space="preserve">Sólidos (polvos orgánicos, polvos inorgánicos, fibras, humos metálicos y no metálicos) </t>
  </si>
  <si>
    <t>Principales fuentes generadoras: Minería, Cerámica, Cemento,  Madera, Harinas, Soldadura</t>
  </si>
  <si>
    <t>Neumoconiosis, bisinosis, neumonitis, asma profesional, EPOC, cáncer y muerte.</t>
  </si>
  <si>
    <t xml:space="preserve">Gases y Vapores. </t>
  </si>
  <si>
    <t xml:space="preserve">Principales fuentes generadoras: Monóxido de carbono, Dióxido de azufre, Óxidos de nitrógeno, Cloro y sus derivados, Amoníaco, Cianuros Plomo, Mercurio, </t>
  </si>
  <si>
    <t>Cefaleas, temblores, falta de coordinación, náuseas, vómitos, somnolencia, acúfenos, parálisis, edema cutáneo, neuritis periférica, déficit cognitivos, alteraciones psiquiatricas, diabetes, hipertiroidismo, edema pulmonar, queratitis, dificultad respiratorio, irritación de vías respiratorias, ojos, piel y tracto gastrointestinal, quemaduras, anemia, hipertensión arterial, daño renal, disminución de la fertilidad, disminución de la libido, depresión, teratogenicidad, trastornos del sueño, trastornos de la memoria, convulsiones, coma, paro respiratorio y muerte.</t>
  </si>
  <si>
    <t xml:space="preserve">Tareas de Alto Riesgo:  </t>
  </si>
  <si>
    <t xml:space="preserve">Tareas de alto riesgo </t>
  </si>
  <si>
    <t>Trabajo en alturas por encima de 1.50 metros. Sin sistemas de protección intrínseca</t>
  </si>
  <si>
    <t xml:space="preserve">Tarea que por su potencial alto de perdida en vidas humanas por caída de altura, necesita la implementación de un sistema de permisos y listas de verificación y el diseño y puesta en marcha de un estándar de seguridad específico. </t>
  </si>
  <si>
    <t>Politraumatismos y muerte</t>
  </si>
  <si>
    <t>Tareas de alto riesgo</t>
  </si>
  <si>
    <t>Trabajo en espacios confinados</t>
  </si>
  <si>
    <t xml:space="preserve">Tarea que por su potencial alto de perdida en vidas humanas por el ingreso a espacios con atmósferas peligrosas o sistemas de atrapamiento.  Necesita la implementación de un sistema de permisos y listas de verificación y el diseño y puesta en marcha de un estándar de seguridad específico. </t>
  </si>
  <si>
    <t>Asfixia, alteraciones del sistema nervioso central, paros cardiorespiratorios, muerte</t>
  </si>
  <si>
    <t>Trabajo con energías peligrosas</t>
  </si>
  <si>
    <t>Son actividades en donde se utilizan diferentes tipos de energía:  hidráulica, eólica, química y térmica. Estas son casi siempre la fuente principal para los procesos, pero en dichos procesos se pueden transformar en: energía potencial, eléctrica, cinética, mecánica, neumática, calórica, luminosa, térmica etc.  El principal riesgo con la energía es que no la vemos excepto cuando se transforma o cuando hacemos parte de ella. Al liberarse esa energía y de forma no controlada, es cuando se producen los accidentes y sus consecuencias varían según la capacidad de esta en ese preciso momento.</t>
  </si>
  <si>
    <t xml:space="preserve">Golpes, heridas, laceraciones, amputaciones, asfixia, intoxicación, electrocución, politraumatismos, muerte. </t>
  </si>
  <si>
    <t>Trabajo en Excavaciones o brechas</t>
  </si>
  <si>
    <t>Actividades de las cuales se extrae tierra u otros materiales estratificados en el suelo mediante cualquier sistema, pueden desarrollarse con maquinaria pesada o a mano con herramientas livianas.</t>
  </si>
  <si>
    <t xml:space="preserve">Golpes, heridas, laceraciones, asfixia, intoxicación, electrocución, politraumatismos, muerte. </t>
  </si>
  <si>
    <t>Trabajos en caliente, corte y soldadura</t>
  </si>
  <si>
    <t xml:space="preserve">Actividades que generan chispa o esquirla y que a su vez son potenciales de generación de incendios y/o explosiones.  Necesita la implementación de un sistema de permisos y listas de verificación y el diseño y puesta en marcha de un estándar de seguridad específico. </t>
  </si>
  <si>
    <t xml:space="preserve">Procesos Peligrosos:  </t>
  </si>
  <si>
    <t>Procesos peligrosos</t>
  </si>
  <si>
    <t>Recipientes y sistemas a presión</t>
  </si>
  <si>
    <t xml:space="preserve">Riesgo generado por aquellos dispositivos cargados con presión y/o alimentados por combustibles varios y que genera riesgo de explosión </t>
  </si>
  <si>
    <t>Politraumatismos, quemaduras y muerte</t>
  </si>
  <si>
    <t xml:space="preserve">Activides en agua </t>
  </si>
  <si>
    <t>Se refiere a aquellas tareas realizadas en rios, quebradas, lagunas, mares, sobre la superficie o bajo el agua. Actividades submarinas que hace necesario la utilización de equipos especializados respiratorios para su ejecución</t>
  </si>
  <si>
    <t>Golpes, heridas, laceraciones, amputaciones, asfixia, barotrauma, embolia cerebral, síndrome de descompresión, muerte.</t>
  </si>
  <si>
    <t xml:space="preserve">Actividades Deportivas: </t>
  </si>
  <si>
    <t>Deportes y otras actividades</t>
  </si>
  <si>
    <t>Actividades deportivas</t>
  </si>
  <si>
    <t xml:space="preserve">Actividades deportivas y lúdicas en general que se realizan con autorización y en representación del empleador. </t>
  </si>
  <si>
    <t>Contusiones, laceraciones, esguinces, luxaciones, fracturas.</t>
  </si>
  <si>
    <t>Peligro Físico</t>
  </si>
  <si>
    <t>Efectos posible</t>
  </si>
  <si>
    <t>Perturbación del sueño y descanso</t>
  </si>
  <si>
    <t>Disminución de la capacidad auditiva o hipoacusia</t>
  </si>
  <si>
    <t>Cefalea</t>
  </si>
  <si>
    <t>Dificultad para la comunicación oral</t>
  </si>
  <si>
    <t>Estrés</t>
  </si>
  <si>
    <t>Fatiga, neurosis, depresión</t>
  </si>
  <si>
    <t xml:space="preserve">Perdida temporal de audicion, </t>
  </si>
  <si>
    <t>Molestias o sensaciones desagradables que el ruido provoca. A menudo se acompaña de zumbido y tinnitus, en forma continua o intermitente.</t>
  </si>
  <si>
    <t>Efectos sobre el rendimiento</t>
  </si>
  <si>
    <t xml:space="preserve">Iluminación </t>
  </si>
  <si>
    <t>Fatiga visual</t>
  </si>
  <si>
    <t>Radiación ionizante</t>
  </si>
  <si>
    <t>Daños en tejidos</t>
  </si>
  <si>
    <t>Necrosis</t>
  </si>
  <si>
    <t>Lesiones en médula ósea, riñones, pulmones y el cristalino de los ojos</t>
  </si>
  <si>
    <t>Cambios digestivos</t>
  </si>
  <si>
    <t>Leucemia</t>
  </si>
  <si>
    <t>Cancer</t>
  </si>
  <si>
    <t>Radiaciones no ionizzantes</t>
  </si>
  <si>
    <t>Alteración cardiovascular</t>
  </si>
  <si>
    <t>Calor</t>
  </si>
  <si>
    <t>Vibración</t>
  </si>
  <si>
    <t>Debilitación de la capacidad de agarre</t>
  </si>
  <si>
    <t>Disminución de la sensación y habilidad de las manos</t>
  </si>
  <si>
    <t xml:space="preserve">Vibracion Muy baja frecuencia (inferiores a 2 Hz): Alteraciones en el sentido del equilibrio, provocando mareos, nauseas y vómitos (movimiento de balanceo de coches, barcos, trenes...). , 
</t>
  </si>
  <si>
    <t xml:space="preserve">Baja y media frecuencia (de 2 a 20 Hz): Afectan sobre todo a la columna vertebral, aparato digestivo y la visión (vehículos y maquinaria industrial, tractores, obras públicas...). 
</t>
  </si>
  <si>
    <t xml:space="preserve">Alta frecuencia (de 20 a 300 Hz): Pueden producir quemaduras por rozamiento y problemas vasomotores, en las articulaciones, musculares... (herramientas manuales percutoras rotativas...). 
</t>
  </si>
  <si>
    <t>Síndrome del túnel carpiano</t>
  </si>
  <si>
    <t>Dolor de espalda</t>
  </si>
  <si>
    <t>Aumento de la irritabilidad</t>
  </si>
  <si>
    <t>Cansancio</t>
  </si>
  <si>
    <t>Erupción por calor</t>
  </si>
  <si>
    <t>Aumento de la ansiedad e incapacidad para concentrarse</t>
  </si>
  <si>
    <t xml:space="preserve">Agotamiento por calor (Resulta de la pérdida de grandes cantidades de líquido por la transpiración, acompañada, en ocasiones, de una pérdida excesiva de sal.
</t>
  </si>
  <si>
    <t xml:space="preserve">Golpe de calor, (Se produce cuando el sistema que controla la temperatura del cuerpo falla y la transpiración (única manera eficaz que tiene el cuerpo de eliminar el calor) se hace inadecuada.
). </t>
  </si>
  <si>
    <t>calambres por calor</t>
  </si>
  <si>
    <t>Perdida repentina del conocimiento</t>
  </si>
  <si>
    <t>Frio</t>
  </si>
  <si>
    <t>Enfriamiento de extremidades</t>
  </si>
  <si>
    <t>Congelación de tejidos</t>
  </si>
  <si>
    <t>Anestesia transitoria</t>
  </si>
  <si>
    <t>Trombosis</t>
  </si>
  <si>
    <t>Presión atmosferica</t>
  </si>
  <si>
    <t>Hiperventilación</t>
  </si>
  <si>
    <t>Incremento del ritmo cardiaco</t>
  </si>
  <si>
    <t>Disconfort térmico</t>
  </si>
  <si>
    <t>Calor . Frio</t>
  </si>
  <si>
    <t>Peligro biologico</t>
  </si>
  <si>
    <t>Infecciones</t>
  </si>
  <si>
    <t>Evenenamiento o efectos tóxicos</t>
  </si>
  <si>
    <t>Alergías</t>
  </si>
  <si>
    <t>Ricketsias (parásito intracelulares: cocos, bacilos, hilos)</t>
  </si>
  <si>
    <t>Mantenimiento preventivo y correctivo
Ventanas de seguridad</t>
  </si>
  <si>
    <t>Realizar inspecciones periódicas.
Limpieza al sistema de iluminación.
Mantenimientos al sistema de iluminación.</t>
  </si>
  <si>
    <t xml:space="preserve">Código: </t>
  </si>
  <si>
    <t xml:space="preserve">Fecha: </t>
  </si>
  <si>
    <t>Limpieza y desinfección del área, equipos</t>
  </si>
  <si>
    <t xml:space="preserve">Inducción
Exámenes médicos de ingreso, 
Descanso a voluntad </t>
  </si>
  <si>
    <t xml:space="preserve">
Continuar con los Exámenes médicos 
Ver programa de capacitación .</t>
  </si>
  <si>
    <t>Inducción SST
Exámenes Médicos Periódicos</t>
  </si>
  <si>
    <t>Inducción SST
Reporte de condiciones</t>
  </si>
  <si>
    <t>Inducción 
 reporte de condiciones</t>
  </si>
  <si>
    <t>Ver cronograma de capacitación</t>
  </si>
  <si>
    <t>Inducción
Reporte de condiciones</t>
  </si>
  <si>
    <t xml:space="preserve">
Inducción 
Reporte de condiciones</t>
  </si>
  <si>
    <r>
      <t>Inducción SST
Reporte de condiciones</t>
    </r>
    <r>
      <rPr>
        <sz val="10"/>
        <color indexed="8"/>
        <rFont val="Century Gothic"/>
        <family val="2"/>
      </rPr>
      <t xml:space="preserve">
</t>
    </r>
  </si>
  <si>
    <t>Ver cronograma de capacitación 
Plan de emergencias</t>
  </si>
  <si>
    <t xml:space="preserve">Inducción
Brigada </t>
  </si>
  <si>
    <t>Contar con infraestructuras sismo resistentes.
Continuar ejecutando simulacros donde se contemplen todas las áreas de la empresa.
Contar con una brigada dotada, capacitada y preparada para atender emergencias.
Contar con planes de ayuda mutua.
PONS</t>
  </si>
  <si>
    <t>MANIPULACIÓN DE CARGAS</t>
  </si>
  <si>
    <t>Inducción 
Reporte de condiciones</t>
  </si>
  <si>
    <t xml:space="preserve">Mantenimiento a instalaciones                                               </t>
  </si>
  <si>
    <t>IDENTIFICACIÓN DE PELIGROS, VALORACIÓN DE RIESGOS Y DETERMINACIÓN DE CONTROLES PLASTICOS ROSSO</t>
  </si>
  <si>
    <t xml:space="preserve">* Gerente
*Secretaria
*Vendedor
*Operario </t>
  </si>
  <si>
    <t>Exposición a virus  en el ambiente de trabajo. 
Virus, COVID 19</t>
  </si>
  <si>
    <t xml:space="preserve">
Dermatitis,  reacciones alérgicas, infecciones respiratorias.
Gripa, malestar general fiebre, Afectación respiratoria </t>
  </si>
  <si>
    <t>Afectaciones respiratorias
Alergias</t>
  </si>
  <si>
    <t>Realizado por las maquinas con las que sacan los productos, el molino para triturar, taladro, compresor</t>
  </si>
  <si>
    <t>VIBRACION (SEGMENTARIA)</t>
  </si>
  <si>
    <t>Maquina que fabrica el producto, taladro</t>
  </si>
  <si>
    <t xml:space="preserve">Afectaciones del sistema musculo esquelético. </t>
  </si>
  <si>
    <t>Mantenimiento que se realiza a las maquinas</t>
  </si>
  <si>
    <t xml:space="preserve">
Exámenes médicos 
inducción</t>
  </si>
  <si>
    <t>Traumatismos en el sistema</t>
  </si>
  <si>
    <t xml:space="preserve">Ver cronograma de capacitación 
  </t>
  </si>
  <si>
    <t>Maquina que fabrica el producto, secadora</t>
  </si>
  <si>
    <t>Colocar señalización sobre cuidados  y precauciones 
Ver cronograma de capacitación</t>
  </si>
  <si>
    <t>MATERIAL PARTICULADO</t>
  </si>
  <si>
    <t>Afectaciones respiratorias, alergias</t>
  </si>
  <si>
    <t xml:space="preserve">Contar con hojas de seguridad de los productos
Ver cronograma de capacitación
</t>
  </si>
  <si>
    <r>
      <rPr>
        <b/>
        <sz val="10"/>
        <rFont val="Century Gothic"/>
        <family val="2"/>
      </rPr>
      <t xml:space="preserve">CARACTERISTICAS DEL GRUPO SOCIAL DE TRABAJO </t>
    </r>
    <r>
      <rPr>
        <sz val="10"/>
        <rFont val="Century Gothic"/>
        <family val="2"/>
      </rPr>
      <t xml:space="preserve">(CALIDAD DE INTERACCIONES, TRABAJO EN EQUIPO) </t>
    </r>
  </si>
  <si>
    <t>Calidad de interacciones, lugar área donde esta ubicada la empresa</t>
  </si>
  <si>
    <t>Inducción SST</t>
  </si>
  <si>
    <t>Realizan manipulación de los moldes que deben cambiar de acuerdo al producto que se este produciendo (25-70K)</t>
  </si>
  <si>
    <t xml:space="preserve">Lesiones del sistema músculo esquelético, </t>
  </si>
  <si>
    <t>No aplica</t>
  </si>
  <si>
    <t>Uso de carros de ayuda de carga</t>
  </si>
  <si>
    <t>Usan botas de seguridad y guantes</t>
  </si>
  <si>
    <t>Heridas, traumas, contusiones, atrapamientos, cortes</t>
  </si>
  <si>
    <t>Botones de desactivación, taco de emergencia</t>
  </si>
  <si>
    <t xml:space="preserve">Herida
Punzamiento, aplastamiento </t>
  </si>
  <si>
    <t>Conexiones eléctricas y cableado voltaje 220</t>
  </si>
  <si>
    <t>Cumplir el reglamento técnico de instalaciones eléctricas RETIE.
Ver cronograma de capacitación</t>
  </si>
  <si>
    <t>LOCATIVO (SUPERFICIES DE TRABAJO )</t>
  </si>
  <si>
    <t xml:space="preserve">ALTURAS </t>
  </si>
  <si>
    <t>Caídas, golpes, lesiones, fracturas</t>
  </si>
  <si>
    <t>Fracturas, golpes, aplastamiento, muerte</t>
  </si>
  <si>
    <t>Botas de seguridad</t>
  </si>
  <si>
    <t>Ver cronograma de capacitación 
Reporte de condiciones</t>
  </si>
  <si>
    <t>Maquinas con protecciones o que se desactivan si se abre la ventanilla
Mantenimiento de las maquinas</t>
  </si>
  <si>
    <t>Escaleras con pasamanos</t>
  </si>
  <si>
    <t>Fracturas
Muerte</t>
  </si>
  <si>
    <t>Ver cronograma de capacitación       
Reporte de condiciones</t>
  </si>
  <si>
    <t>TECNOLOGICO (Fuga, derrame, incendio)</t>
  </si>
  <si>
    <t>Quemaduras, intoxicaciones</t>
  </si>
  <si>
    <t>Quemaduras, muerte</t>
  </si>
  <si>
    <t>Ver cronograma de capacitación
Inspección
Mantenimiento</t>
  </si>
  <si>
    <t>La empresa esta ubicada en un área muy comercial con altos problemas de atracos</t>
  </si>
  <si>
    <t xml:space="preserve"> Heridas, traumas, golpes, contusiones,</t>
  </si>
  <si>
    <t>En ocasiones alquilan un montacargas el cual ingresa a las instalaciones</t>
  </si>
  <si>
    <t>Uso de escaleras a más de dos metros
Se pueden llegar a subir sobre superficie a más de dos metros para realizar almacenamiento de productos</t>
  </si>
  <si>
    <t>Perdidas humanas (muerte)</t>
  </si>
  <si>
    <t>Ver cronograma de capacitación 
Certificar a las personas que realicen esta tarea
Contar con escaleras y equipos certificados</t>
  </si>
  <si>
    <t>SISMO,  TERREMOTO, INUNDACIONES, PRECIPITACIONES</t>
  </si>
  <si>
    <t>Sismo, terremoto
Inundación porque la empresa esta ubicada en el primer piso
Lluvias, granizadas</t>
  </si>
  <si>
    <t>Heridas, fracturas, contusiones,</t>
  </si>
  <si>
    <t>PLASTICOS ROSSO empresa que fabrica productos plasticos o partes plasticas por inyección o soplado en plastico</t>
  </si>
  <si>
    <t xml:space="preserve">Fabricación de artículos plásticos por medio del proceso de moldeo por inyección.
Proceso de fabricación de objetos plásticos huecos mediante la expansión del material.
</t>
  </si>
  <si>
    <r>
      <rPr>
        <b/>
        <sz val="10"/>
        <rFont val="Century Gothic"/>
        <family val="2"/>
      </rPr>
      <t>*Gerente</t>
    </r>
    <r>
      <rPr>
        <sz val="10"/>
        <rFont val="Century Gothic"/>
        <family val="2"/>
      </rPr>
      <t>: Tareas administrativas como manejo de cheques, bancos, pagos, clientes, proveedores
Tareas operativas: Cambiar moldes de las maquinas de acuerdo al proceso de la maquina (25 a 70K), agregar el material que sobra al molino para triturarlo y reutilizarlo en otro proceso, agregar material a la secadora en los casos que venga humedo,  agregar el producto a la maquina que produce el producto, recolectar los productos, verificar que la maquina esta trabajando en optimas condiciones, uso del compresor, soplete, taladro
*</t>
    </r>
    <r>
      <rPr>
        <b/>
        <sz val="10"/>
        <rFont val="Century Gothic"/>
        <family val="2"/>
      </rPr>
      <t xml:space="preserve">Secretaria: </t>
    </r>
    <r>
      <rPr>
        <sz val="10"/>
        <rFont val="Century Gothic"/>
        <family val="2"/>
      </rPr>
      <t>Funciones adminsitrativas, papeleo, correo y otros. Tambien realiza tareas operativas como apoyo en el secado del producto, agregar el colorante a las maquinas, agregarb producto al molino, separar el producto del molde plastico ya terminado.
*</t>
    </r>
    <r>
      <rPr>
        <b/>
        <sz val="10"/>
        <rFont val="Century Gothic"/>
        <family val="2"/>
      </rPr>
      <t xml:space="preserve">Vendedor: </t>
    </r>
    <r>
      <rPr>
        <sz val="10"/>
        <rFont val="Century Gothic"/>
        <family val="2"/>
      </rPr>
      <t>Realiza tareas de venta en el lugar de trabajo y tareas operativas Cambiar moldes de las maquinas de acuerdo al proceso de la maquina (25 a 70K), agregar el material que sobra al molino para triturarlo y reutilizarlo en otro proceso, agregar material a la secadora en los casos que venga humedo,  agregar el producto a la maquina que produce el producto, recolectar los productos, verificar que la maquina esta trabajando en optimas condiciones, uso del compresor, soplete, taladro</t>
    </r>
    <r>
      <rPr>
        <b/>
        <sz val="10"/>
        <rFont val="Century Gothic"/>
        <family val="2"/>
      </rPr>
      <t xml:space="preserve">. 
</t>
    </r>
    <r>
      <rPr>
        <sz val="10"/>
        <rFont val="Century Gothic"/>
        <family val="2"/>
      </rPr>
      <t xml:space="preserve">
</t>
    </r>
    <r>
      <rPr>
        <b/>
        <sz val="10"/>
        <rFont val="Century Gothic"/>
        <family val="2"/>
      </rPr>
      <t xml:space="preserve">* Operario: </t>
    </r>
    <r>
      <rPr>
        <sz val="10"/>
        <rFont val="Century Gothic"/>
        <family val="2"/>
      </rPr>
      <t xml:space="preserve">Cambiar moldes de las maquinas de acuerdo al proceso de la maquina (25 a 70K), agregar el material que sobra al molino para triturarlo y reutilizarlo en otro proceso, agregar material a la secadora en los casos que venga humedo,  agregar el producto a la maquina que produce el producto, recolectar los productos, verificar que la maquina esta trabajando en optimas condiciones, uso del compresor, soplete, taladro
</t>
    </r>
  </si>
  <si>
    <t>PLASTICOS ROSSO</t>
  </si>
  <si>
    <t>Caída, fracturas</t>
  </si>
  <si>
    <t xml:space="preserve">
Inducción SST
Exámenes médicos 
Lavado de manos 
Reporte de actos y condiciones inseguras</t>
  </si>
  <si>
    <t xml:space="preserve">
Continuar con las jornadas de limpieza 
Ver cronograma de capacitación
Lavado de manos constante
</t>
  </si>
  <si>
    <t>Inducción SST-A</t>
  </si>
  <si>
    <t>Cuentan con un cilindro de gas (usan una vez al mes)
Maquina que fabrica producto produce vapores por los productos cuando estos están húmedos, además la maquina se debe mantener humedeciendo para que no se recaliente</t>
  </si>
  <si>
    <t xml:space="preserve">Inducción SST
Reporte de Condiciones </t>
  </si>
  <si>
    <t>Alergias
Afectación respiratorias</t>
  </si>
  <si>
    <t>Mantener sentado frente a la maquina que realiza el proceso de creación de las partes plásticas</t>
  </si>
  <si>
    <t>Ver cronograma de capacitación
Pausas activas
Reporte de elementos dañados</t>
  </si>
  <si>
    <t>Ver cronograma de capacitación
Pausas activas
Exámenes médicos</t>
  </si>
  <si>
    <t>(partes de maquinas, herramientas, piezas a trabajar, materiales proyectados solidos o fluidos)</t>
  </si>
  <si>
    <t xml:space="preserve">Ver cronograma de capacitación
Reporte de condiciones 
Realizar los mantenimientos </t>
  </si>
  <si>
    <t xml:space="preserve">Señalización de Riesgo eléctrico en tableros de conexiones eléctricas </t>
  </si>
  <si>
    <t xml:space="preserve">Sistemas de almacenamiento.
Caída de objetos (por cantidad de objetos almacenados y el peso de estos) 
Orden y aseo </t>
  </si>
  <si>
    <t>Áreas de almacenamiento con estantería metálica</t>
  </si>
  <si>
    <t>Superficies de trabajo irregulares, deslizantes, con diferencia de nivel)
Escalera que lleva al mezanine ubicado en el 2 nivel la cual esta muy inclinada y los escalones están fabricados en madera</t>
  </si>
  <si>
    <t xml:space="preserve">La maquina de producción </t>
  </si>
  <si>
    <t>Ver cronograma de capacitación 
Seguimiento contratistas de servicio de transporte</t>
  </si>
  <si>
    <t>&lt;</t>
  </si>
  <si>
    <t>Compuestos plásticos con el que fabrican los productos
Colorante que aplican a los productos, pinturas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</si>
</sst>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2">
    <font>
      <sz val="10"/>
      <name val="Arial"/>
    </font>
    <font>
      <sz val="10"/>
      <name val="Arial"/>
      <family val="2"/>
    </font>
    <font>
      <sz val="8"/>
      <name val="Arial"/>
      <family val="2"/>
    </font>
    <font>
      <sz val="10"/>
      <color indexed="8"/>
      <name val="Arial"/>
      <family val="2"/>
    </font>
    <font>
      <sz val="10"/>
      <name val="Arial"/>
      <family val="2"/>
    </font>
    <font>
      <b/>
      <sz val="8"/>
      <name val="Arial"/>
      <family val="2"/>
    </font>
    <font>
      <sz val="11"/>
      <name val="Arial"/>
      <family val="2"/>
    </font>
    <font>
      <sz val="8"/>
      <name val="Century Gothic"/>
      <family val="2"/>
    </font>
    <font>
      <b/>
      <sz val="8"/>
      <name val="Calibri"/>
      <family val="2"/>
    </font>
    <font>
      <sz val="8"/>
      <name val="Calibri"/>
      <family val="2"/>
    </font>
    <font>
      <b/>
      <i/>
      <sz val="8"/>
      <name val="Arial"/>
      <family val="2"/>
    </font>
    <font>
      <sz val="11"/>
      <color indexed="63"/>
      <name val="Georgia"/>
      <family val="1"/>
    </font>
    <font>
      <sz val="10"/>
      <name val="Century Gothic"/>
      <family val="2"/>
    </font>
    <font>
      <b/>
      <sz val="10"/>
      <color indexed="8"/>
      <name val="Century Gothic"/>
      <family val="2"/>
    </font>
    <font>
      <sz val="10"/>
      <color indexed="8"/>
      <name val="Century Gothic"/>
      <family val="2"/>
    </font>
    <font>
      <sz val="10"/>
      <color indexed="63"/>
      <name val="Century Gothic"/>
      <family val="2"/>
    </font>
    <font>
      <sz val="8"/>
      <color indexed="81"/>
      <name val="Tahoma"/>
      <family val="2"/>
    </font>
    <font>
      <b/>
      <sz val="8"/>
      <color indexed="81"/>
      <name val="Tahoma"/>
      <family val="2"/>
    </font>
    <font>
      <sz val="8"/>
      <color indexed="8"/>
      <name val="Calibri"/>
      <family val="2"/>
    </font>
    <font>
      <i/>
      <sz val="8"/>
      <color indexed="8"/>
      <name val="Calibri"/>
      <family val="2"/>
    </font>
    <font>
      <b/>
      <sz val="10"/>
      <name val="Century Gothic"/>
      <family val="2"/>
    </font>
    <font>
      <sz val="11"/>
      <color theme="1"/>
      <name val="Calibri"/>
      <family val="2"/>
      <scheme val="minor"/>
    </font>
    <font>
      <sz val="8"/>
      <name val="Calibri"/>
      <family val="2"/>
      <scheme val="minor"/>
    </font>
    <font>
      <b/>
      <sz val="8"/>
      <color theme="0"/>
      <name val="Arial"/>
      <family val="2"/>
    </font>
    <font>
      <b/>
      <sz val="8"/>
      <color theme="0"/>
      <name val="Calibri"/>
      <family val="2"/>
    </font>
    <font>
      <b/>
      <sz val="8"/>
      <name val="Calibri"/>
      <family val="2"/>
      <scheme val="minor"/>
    </font>
    <font>
      <b/>
      <sz val="8"/>
      <color theme="0"/>
      <name val="Calibri"/>
      <family val="2"/>
      <scheme val="minor"/>
    </font>
    <font>
      <b/>
      <sz val="10"/>
      <color theme="0"/>
      <name val="Arial"/>
      <family val="2"/>
    </font>
    <font>
      <b/>
      <sz val="10"/>
      <color theme="0"/>
      <name val="Century Gothic"/>
      <family val="2"/>
    </font>
    <font>
      <sz val="10"/>
      <color theme="0"/>
      <name val="Century Gothic"/>
      <family val="2"/>
    </font>
    <font>
      <sz val="10"/>
      <color theme="1"/>
      <name val="Century Gothic"/>
      <family val="2"/>
    </font>
    <font>
      <sz val="10"/>
      <color rgb="FFFF0000"/>
      <name val="Century Gothic"/>
      <family val="2"/>
    </font>
  </fonts>
  <fills count="18">
    <fill>
      <patternFill patternType="none"/>
    </fill>
    <fill>
      <patternFill patternType="gray125"/>
    </fill>
    <fill>
      <patternFill patternType="solid">
        <fgColor indexed="9"/>
        <bgColor indexed="64"/>
      </patternFill>
    </fill>
    <fill>
      <patternFill patternType="solid">
        <fgColor indexed="23"/>
        <bgColor indexed="64"/>
      </patternFill>
    </fill>
    <fill>
      <patternFill patternType="solid">
        <fgColor indexed="55"/>
        <bgColor indexed="64"/>
      </patternFill>
    </fill>
    <fill>
      <patternFill patternType="solid">
        <fgColor indexed="10"/>
        <bgColor indexed="64"/>
      </patternFill>
    </fill>
    <fill>
      <patternFill patternType="solid">
        <fgColor indexed="13"/>
        <bgColor indexed="64"/>
      </patternFill>
    </fill>
    <fill>
      <patternFill patternType="solid">
        <fgColor indexed="17"/>
        <bgColor indexed="64"/>
      </patternFill>
    </fill>
    <fill>
      <patternFill patternType="solid">
        <fgColor indexed="50"/>
        <bgColor indexed="64"/>
      </patternFill>
    </fill>
    <fill>
      <patternFill patternType="solid">
        <fgColor rgb="FFFF0000"/>
        <bgColor indexed="64"/>
      </patternFill>
    </fill>
    <fill>
      <patternFill patternType="solid">
        <fgColor theme="9" tint="-0.249977111117893"/>
        <bgColor indexed="64"/>
      </patternFill>
    </fill>
    <fill>
      <patternFill patternType="solid">
        <fgColor rgb="FFFFFF00"/>
        <bgColor indexed="64"/>
      </patternFill>
    </fill>
    <fill>
      <patternFill patternType="solid">
        <fgColor rgb="FF002060"/>
        <bgColor indexed="64"/>
      </patternFill>
    </fill>
    <fill>
      <patternFill patternType="solid">
        <fgColor rgb="FF92D050"/>
        <bgColor indexed="64"/>
      </patternFill>
    </fill>
    <fill>
      <patternFill patternType="solid">
        <fgColor theme="0"/>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rgb="FF0F243E"/>
        <bgColor indexed="64"/>
      </patternFill>
    </fill>
  </fills>
  <borders count="58">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style="medium">
        <color indexed="64"/>
      </left>
      <right style="medium">
        <color indexed="64"/>
      </right>
      <top/>
      <bottom/>
      <diagonal/>
    </border>
    <border>
      <left/>
      <right/>
      <top style="thin">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style="thin">
        <color rgb="FF92D050"/>
      </left>
      <right/>
      <top style="thin">
        <color rgb="FF92D050"/>
      </top>
      <bottom style="thin">
        <color rgb="FF92D050"/>
      </bottom>
      <diagonal/>
    </border>
    <border>
      <left/>
      <right style="thin">
        <color rgb="FF92D050"/>
      </right>
      <top style="thin">
        <color rgb="FF92D050"/>
      </top>
      <bottom style="thin">
        <color rgb="FF92D050"/>
      </bottom>
      <diagonal/>
    </border>
    <border>
      <left/>
      <right style="medium">
        <color rgb="FF000000"/>
      </right>
      <top/>
      <bottom style="thin">
        <color indexed="64"/>
      </bottom>
      <diagonal/>
    </border>
  </borders>
  <cellStyleXfs count="7">
    <xf numFmtId="0" fontId="0" fillId="0" borderId="0"/>
    <xf numFmtId="0" fontId="4" fillId="0" borderId="0"/>
    <xf numFmtId="0" fontId="1" fillId="0" borderId="0"/>
    <xf numFmtId="0" fontId="4" fillId="0" borderId="0"/>
    <xf numFmtId="0" fontId="21" fillId="0" borderId="0"/>
    <xf numFmtId="0" fontId="6" fillId="0" borderId="0"/>
    <xf numFmtId="0" fontId="3" fillId="0" borderId="0"/>
  </cellStyleXfs>
  <cellXfs count="266">
    <xf numFmtId="0" fontId="0" fillId="0" borderId="0" xfId="0"/>
    <xf numFmtId="0" fontId="9" fillId="0" borderId="0" xfId="0" applyFont="1" applyAlignment="1">
      <alignment vertical="center"/>
    </xf>
    <xf numFmtId="0" fontId="9" fillId="0" borderId="0" xfId="0" applyFont="1" applyAlignment="1">
      <alignment horizontal="center" vertical="center"/>
    </xf>
    <xf numFmtId="0" fontId="2" fillId="2" borderId="0" xfId="5" applyFont="1" applyFill="1"/>
    <xf numFmtId="0" fontId="6" fillId="0" borderId="0" xfId="5"/>
    <xf numFmtId="0" fontId="2" fillId="0" borderId="3" xfId="5" applyFont="1" applyBorder="1" applyAlignment="1">
      <alignment horizontal="center" vertical="center" wrapText="1"/>
    </xf>
    <xf numFmtId="0" fontId="2" fillId="0" borderId="4" xfId="5" applyFont="1" applyBorder="1" applyAlignment="1">
      <alignment horizontal="center" vertical="center" wrapText="1"/>
    </xf>
    <xf numFmtId="0" fontId="2" fillId="0" borderId="5" xfId="5" applyFont="1" applyBorder="1" applyAlignment="1">
      <alignment horizontal="center" vertical="center" wrapText="1"/>
    </xf>
    <xf numFmtId="0" fontId="2" fillId="2" borderId="0" xfId="5" applyFont="1" applyFill="1" applyAlignment="1">
      <alignment vertical="center"/>
    </xf>
    <xf numFmtId="0" fontId="2" fillId="2" borderId="0" xfId="5" applyFont="1" applyFill="1" applyAlignment="1">
      <alignment horizontal="center" vertical="center"/>
    </xf>
    <xf numFmtId="0" fontId="2" fillId="2" borderId="0" xfId="5" applyFont="1" applyFill="1" applyAlignment="1">
      <alignment vertical="center" wrapText="1"/>
    </xf>
    <xf numFmtId="0" fontId="2" fillId="0" borderId="6" xfId="5" applyFont="1" applyBorder="1" applyAlignment="1">
      <alignment horizontal="center" vertical="center" wrapText="1"/>
    </xf>
    <xf numFmtId="0" fontId="2" fillId="0" borderId="7" xfId="5" applyFont="1" applyBorder="1" applyAlignment="1">
      <alignment horizontal="center" vertical="center" wrapText="1"/>
    </xf>
    <xf numFmtId="0" fontId="2" fillId="2" borderId="0" xfId="5" applyFont="1" applyFill="1" applyAlignment="1">
      <alignment horizontal="center" vertical="center" wrapText="1"/>
    </xf>
    <xf numFmtId="0" fontId="2" fillId="3" borderId="2" xfId="5" applyFont="1" applyFill="1" applyBorder="1" applyAlignment="1">
      <alignment horizontal="center" vertical="center"/>
    </xf>
    <xf numFmtId="0" fontId="2" fillId="3" borderId="2" xfId="5" applyFont="1" applyFill="1" applyBorder="1" applyAlignment="1">
      <alignment horizontal="center" vertical="center" wrapText="1"/>
    </xf>
    <xf numFmtId="0" fontId="2" fillId="4" borderId="2" xfId="5" applyFont="1" applyFill="1" applyBorder="1" applyAlignment="1">
      <alignment horizontal="center" vertical="center"/>
    </xf>
    <xf numFmtId="0" fontId="2" fillId="4" borderId="2" xfId="5" applyFont="1" applyFill="1" applyBorder="1" applyAlignment="1">
      <alignment horizontal="center" vertical="center" wrapText="1"/>
    </xf>
    <xf numFmtId="0" fontId="2" fillId="0" borderId="2" xfId="5" applyFont="1" applyBorder="1" applyAlignment="1">
      <alignment vertical="center"/>
    </xf>
    <xf numFmtId="0" fontId="2" fillId="0" borderId="2" xfId="5" applyFont="1" applyBorder="1" applyAlignment="1">
      <alignment vertical="center" wrapText="1"/>
    </xf>
    <xf numFmtId="16" fontId="2" fillId="0" borderId="2" xfId="5" quotePrefix="1" applyNumberFormat="1" applyFont="1" applyBorder="1" applyAlignment="1">
      <alignment vertical="center" wrapText="1"/>
    </xf>
    <xf numFmtId="0" fontId="2" fillId="0" borderId="2" xfId="5" quotePrefix="1" applyFont="1" applyBorder="1" applyAlignment="1">
      <alignment vertical="center" wrapText="1"/>
    </xf>
    <xf numFmtId="0" fontId="2" fillId="5" borderId="2" xfId="5" applyFont="1" applyFill="1" applyBorder="1" applyAlignment="1">
      <alignment vertical="center" wrapText="1"/>
    </xf>
    <xf numFmtId="0" fontId="2" fillId="5" borderId="2" xfId="5" applyFont="1" applyFill="1" applyBorder="1" applyAlignment="1">
      <alignment horizontal="left" vertical="center" wrapText="1"/>
    </xf>
    <xf numFmtId="0" fontId="2" fillId="6" borderId="2" xfId="5" applyFont="1" applyFill="1" applyBorder="1" applyAlignment="1">
      <alignment vertical="center" wrapText="1"/>
    </xf>
    <xf numFmtId="0" fontId="5" fillId="7" borderId="2" xfId="5" applyFont="1" applyFill="1" applyBorder="1" applyAlignment="1">
      <alignment horizontal="right" vertical="center" wrapText="1"/>
    </xf>
    <xf numFmtId="0" fontId="2" fillId="6" borderId="2" xfId="5" applyFont="1" applyFill="1" applyBorder="1" applyAlignment="1">
      <alignment horizontal="left" vertical="center" wrapText="1"/>
    </xf>
    <xf numFmtId="0" fontId="2" fillId="7" borderId="2" xfId="5" applyFont="1" applyFill="1" applyBorder="1" applyAlignment="1">
      <alignment horizontal="right"/>
    </xf>
    <xf numFmtId="0" fontId="2" fillId="2" borderId="0" xfId="5" applyFont="1" applyFill="1" applyAlignment="1">
      <alignment horizontal="left" vertical="center" wrapText="1"/>
    </xf>
    <xf numFmtId="0" fontId="2" fillId="2" borderId="0" xfId="5" applyFont="1" applyFill="1" applyAlignment="1">
      <alignment horizontal="right"/>
    </xf>
    <xf numFmtId="0" fontId="2" fillId="2" borderId="0" xfId="5" applyFont="1" applyFill="1" applyAlignment="1">
      <alignment horizontal="left" vertical="center"/>
    </xf>
    <xf numFmtId="0" fontId="2" fillId="9" borderId="2" xfId="5" applyFont="1" applyFill="1" applyBorder="1" applyAlignment="1">
      <alignment horizontal="center" vertical="center" wrapText="1"/>
    </xf>
    <xf numFmtId="0" fontId="2" fillId="10" borderId="2" xfId="5" applyFont="1" applyFill="1" applyBorder="1" applyAlignment="1">
      <alignment horizontal="center" vertical="center" wrapText="1"/>
    </xf>
    <xf numFmtId="0" fontId="2" fillId="11" borderId="2" xfId="5" applyFont="1" applyFill="1" applyBorder="1" applyAlignment="1">
      <alignment horizontal="center" vertical="center" wrapText="1"/>
    </xf>
    <xf numFmtId="0" fontId="3" fillId="0" borderId="0" xfId="5" applyFont="1"/>
    <xf numFmtId="0" fontId="11" fillId="0" borderId="0" xfId="5" applyFont="1" applyAlignment="1">
      <alignment vertical="center" wrapText="1"/>
    </xf>
    <xf numFmtId="0" fontId="6" fillId="0" borderId="0" xfId="5" applyAlignment="1">
      <alignment horizontal="left"/>
    </xf>
    <xf numFmtId="0" fontId="12" fillId="0" borderId="0" xfId="5" applyFont="1" applyAlignment="1">
      <alignment horizontal="left"/>
    </xf>
    <xf numFmtId="0" fontId="12" fillId="0" borderId="0" xfId="5" applyFont="1"/>
    <xf numFmtId="0" fontId="13" fillId="0" borderId="2" xfId="5" applyFont="1" applyBorder="1" applyAlignment="1">
      <alignment horizontal="center" vertical="center"/>
    </xf>
    <xf numFmtId="0" fontId="14" fillId="0" borderId="2" xfId="5" applyFont="1" applyBorder="1"/>
    <xf numFmtId="0" fontId="15" fillId="0" borderId="2" xfId="5" applyFont="1" applyBorder="1" applyAlignment="1">
      <alignment vertical="center" wrapText="1"/>
    </xf>
    <xf numFmtId="0" fontId="15" fillId="0" borderId="2" xfId="5" applyFont="1" applyBorder="1"/>
    <xf numFmtId="0" fontId="12" fillId="0" borderId="2" xfId="5" applyFont="1" applyBorder="1"/>
    <xf numFmtId="0" fontId="12" fillId="0" borderId="2" xfId="5" applyFont="1" applyBorder="1" applyAlignment="1">
      <alignment horizontal="center" vertical="center"/>
    </xf>
    <xf numFmtId="0" fontId="15" fillId="0" borderId="2" xfId="5" applyFont="1" applyBorder="1" applyAlignment="1">
      <alignment vertical="center"/>
    </xf>
    <xf numFmtId="0" fontId="14" fillId="0" borderId="2" xfId="5" applyFont="1" applyBorder="1" applyAlignment="1">
      <alignment horizontal="center" vertical="center"/>
    </xf>
    <xf numFmtId="0" fontId="14" fillId="0" borderId="2" xfId="5" applyFont="1" applyBorder="1" applyAlignment="1">
      <alignment horizontal="center" vertical="center" wrapText="1"/>
    </xf>
    <xf numFmtId="0" fontId="15" fillId="0" borderId="2" xfId="5" applyFont="1" applyBorder="1" applyAlignment="1">
      <alignment wrapText="1"/>
    </xf>
    <xf numFmtId="0" fontId="12" fillId="0" borderId="2" xfId="5" applyFont="1" applyBorder="1" applyAlignment="1">
      <alignment wrapText="1"/>
    </xf>
    <xf numFmtId="0" fontId="22" fillId="0" borderId="8" xfId="1" applyFont="1" applyBorder="1" applyAlignment="1">
      <alignment horizontal="justify" vertical="center" wrapText="1"/>
    </xf>
    <xf numFmtId="0" fontId="2" fillId="0" borderId="0" xfId="5" applyFont="1"/>
    <xf numFmtId="0" fontId="2" fillId="11" borderId="0" xfId="0" applyFont="1" applyFill="1" applyAlignment="1">
      <alignment horizontal="justify" vertical="center"/>
    </xf>
    <xf numFmtId="0" fontId="2" fillId="11" borderId="0" xfId="5" applyFont="1" applyFill="1" applyAlignment="1">
      <alignment vertical="center" wrapText="1"/>
    </xf>
    <xf numFmtId="0" fontId="23" fillId="12" borderId="9" xfId="5" applyFont="1" applyFill="1" applyBorder="1" applyAlignment="1">
      <alignment horizontal="center" vertical="center" wrapText="1"/>
    </xf>
    <xf numFmtId="0" fontId="23" fillId="12" borderId="10" xfId="5" applyFont="1" applyFill="1" applyBorder="1" applyAlignment="1">
      <alignment horizontal="center" vertical="center" wrapText="1"/>
    </xf>
    <xf numFmtId="0" fontId="23" fillId="12" borderId="11" xfId="5" applyFont="1" applyFill="1" applyBorder="1" applyAlignment="1">
      <alignment horizontal="center" vertical="center" wrapText="1"/>
    </xf>
    <xf numFmtId="0" fontId="23" fillId="12" borderId="12" xfId="5" applyFont="1" applyFill="1" applyBorder="1" applyAlignment="1">
      <alignment horizontal="center" vertical="center" wrapText="1"/>
    </xf>
    <xf numFmtId="0" fontId="23" fillId="12" borderId="13" xfId="5" applyFont="1" applyFill="1" applyBorder="1" applyAlignment="1">
      <alignment horizontal="center" vertical="center" wrapText="1"/>
    </xf>
    <xf numFmtId="0" fontId="23" fillId="12" borderId="14" xfId="5" applyFont="1" applyFill="1" applyBorder="1" applyAlignment="1">
      <alignment horizontal="center" vertical="center" wrapText="1"/>
    </xf>
    <xf numFmtId="0" fontId="7" fillId="9" borderId="15" xfId="0" applyFont="1" applyFill="1" applyBorder="1" applyAlignment="1">
      <alignment horizontal="center" vertical="center"/>
    </xf>
    <xf numFmtId="0" fontId="2" fillId="0" borderId="16" xfId="5" applyFont="1" applyBorder="1" applyAlignment="1">
      <alignment horizontal="left" vertical="center" wrapText="1" indent="1"/>
    </xf>
    <xf numFmtId="0" fontId="7" fillId="10" borderId="15" xfId="0" applyFont="1" applyFill="1" applyBorder="1" applyAlignment="1">
      <alignment horizontal="center" vertical="center"/>
    </xf>
    <xf numFmtId="0" fontId="7" fillId="11" borderId="15" xfId="0" applyFont="1" applyFill="1" applyBorder="1" applyAlignment="1">
      <alignment horizontal="center" vertical="center"/>
    </xf>
    <xf numFmtId="0" fontId="7" fillId="13" borderId="17" xfId="0" applyFont="1" applyFill="1" applyBorder="1" applyAlignment="1">
      <alignment horizontal="center" vertical="center"/>
    </xf>
    <xf numFmtId="0" fontId="2" fillId="0" borderId="18" xfId="5" applyFont="1" applyBorder="1" applyAlignment="1">
      <alignment horizontal="center" vertical="center" wrapText="1"/>
    </xf>
    <xf numFmtId="0" fontId="2" fillId="0" borderId="19" xfId="5" applyFont="1" applyBorder="1" applyAlignment="1">
      <alignment horizontal="left" vertical="center" wrapText="1" indent="1"/>
    </xf>
    <xf numFmtId="0" fontId="2" fillId="9" borderId="15" xfId="5" applyFont="1" applyFill="1" applyBorder="1" applyAlignment="1">
      <alignment horizontal="center" vertical="center" wrapText="1"/>
    </xf>
    <xf numFmtId="0" fontId="2" fillId="10" borderId="15" xfId="5" applyFont="1" applyFill="1" applyBorder="1" applyAlignment="1">
      <alignment horizontal="center" vertical="center" wrapText="1"/>
    </xf>
    <xf numFmtId="0" fontId="2" fillId="11" borderId="15" xfId="5" applyFont="1" applyFill="1" applyBorder="1" applyAlignment="1">
      <alignment horizontal="center" vertical="center" wrapText="1"/>
    </xf>
    <xf numFmtId="0" fontId="2" fillId="13" borderId="17" xfId="5" applyFont="1" applyFill="1" applyBorder="1" applyAlignment="1">
      <alignment horizontal="center" vertical="center" wrapText="1"/>
    </xf>
    <xf numFmtId="0" fontId="2" fillId="13" borderId="18" xfId="5" applyFont="1" applyFill="1" applyBorder="1" applyAlignment="1">
      <alignment horizontal="center" vertical="center" wrapText="1"/>
    </xf>
    <xf numFmtId="0" fontId="2" fillId="9" borderId="16" xfId="5" applyFont="1" applyFill="1" applyBorder="1" applyAlignment="1">
      <alignment horizontal="left" vertical="center" wrapText="1"/>
    </xf>
    <xf numFmtId="0" fontId="2" fillId="10" borderId="16" xfId="5" applyFont="1" applyFill="1" applyBorder="1" applyAlignment="1">
      <alignment horizontal="left" vertical="center" wrapText="1"/>
    </xf>
    <xf numFmtId="0" fontId="2" fillId="11" borderId="16" xfId="5" applyFont="1" applyFill="1" applyBorder="1" applyAlignment="1">
      <alignment horizontal="left" vertical="center" wrapText="1"/>
    </xf>
    <xf numFmtId="0" fontId="2" fillId="13" borderId="19" xfId="5" applyFont="1" applyFill="1" applyBorder="1" applyAlignment="1">
      <alignment horizontal="left" vertical="center" wrapText="1"/>
    </xf>
    <xf numFmtId="0" fontId="23" fillId="12" borderId="2" xfId="5" applyFont="1" applyFill="1" applyBorder="1" applyAlignment="1">
      <alignment horizontal="center" vertical="center"/>
    </xf>
    <xf numFmtId="0" fontId="24" fillId="12" borderId="2" xfId="0" applyFont="1" applyFill="1" applyBorder="1" applyAlignment="1">
      <alignment horizontal="center" vertical="center"/>
    </xf>
    <xf numFmtId="0" fontId="9" fillId="14" borderId="2" xfId="0" applyFont="1" applyFill="1" applyBorder="1" applyAlignment="1">
      <alignment vertical="center" wrapText="1"/>
    </xf>
    <xf numFmtId="0" fontId="22" fillId="2" borderId="0" xfId="1" applyFont="1" applyFill="1" applyAlignment="1">
      <alignment vertical="center" wrapText="1"/>
    </xf>
    <xf numFmtId="0" fontId="22" fillId="0" borderId="0" xfId="0" applyFont="1"/>
    <xf numFmtId="0" fontId="25" fillId="0" borderId="20" xfId="1" applyFont="1" applyBorder="1" applyAlignment="1">
      <alignment vertical="center" wrapText="1"/>
    </xf>
    <xf numFmtId="0" fontId="22" fillId="0" borderId="8" xfId="1" applyFont="1" applyBorder="1" applyAlignment="1">
      <alignment horizontal="left" vertical="center" wrapText="1"/>
    </xf>
    <xf numFmtId="0" fontId="22" fillId="0" borderId="21" xfId="1" applyFont="1" applyBorder="1" applyAlignment="1">
      <alignment horizontal="justify" vertical="center" wrapText="1"/>
    </xf>
    <xf numFmtId="0" fontId="25" fillId="0" borderId="22" xfId="1" applyFont="1" applyBorder="1" applyAlignment="1">
      <alignment vertical="center" wrapText="1"/>
    </xf>
    <xf numFmtId="0" fontId="22" fillId="0" borderId="23" xfId="1" applyFont="1" applyBorder="1" applyAlignment="1">
      <alignment horizontal="left" vertical="center" wrapText="1"/>
    </xf>
    <xf numFmtId="0" fontId="22" fillId="0" borderId="2" xfId="1" applyFont="1" applyBorder="1" applyAlignment="1">
      <alignment horizontal="justify" vertical="center" wrapText="1"/>
    </xf>
    <xf numFmtId="0" fontId="25" fillId="0" borderId="24" xfId="1" applyFont="1" applyBorder="1" applyAlignment="1">
      <alignment vertical="center" wrapText="1"/>
    </xf>
    <xf numFmtId="0" fontId="22" fillId="0" borderId="25" xfId="1" applyFont="1" applyBorder="1" applyAlignment="1">
      <alignment horizontal="left" vertical="center" wrapText="1"/>
    </xf>
    <xf numFmtId="0" fontId="22" fillId="14" borderId="8" xfId="1" applyFont="1" applyFill="1" applyBorder="1" applyAlignment="1">
      <alignment horizontal="left" vertical="center" wrapText="1" indent="1"/>
    </xf>
    <xf numFmtId="0" fontId="22" fillId="0" borderId="2" xfId="4" applyFont="1" applyBorder="1" applyAlignment="1">
      <alignment horizontal="left" vertical="center" wrapText="1"/>
    </xf>
    <xf numFmtId="0" fontId="22" fillId="0" borderId="8" xfId="1" applyFont="1" applyBorder="1" applyAlignment="1">
      <alignment horizontal="left" vertical="center" wrapText="1" indent="1"/>
    </xf>
    <xf numFmtId="0" fontId="22" fillId="0" borderId="21" xfId="0" applyFont="1" applyBorder="1" applyAlignment="1">
      <alignment horizontal="left" vertical="center" wrapText="1"/>
    </xf>
    <xf numFmtId="0" fontId="26" fillId="12" borderId="26" xfId="1" applyFont="1" applyFill="1" applyBorder="1" applyAlignment="1">
      <alignment horizontal="center" vertical="center" wrapText="1"/>
    </xf>
    <xf numFmtId="0" fontId="26" fillId="12" borderId="27" xfId="1" applyFont="1" applyFill="1" applyBorder="1" applyAlignment="1">
      <alignment horizontal="center" vertical="center" wrapText="1"/>
    </xf>
    <xf numFmtId="0" fontId="24" fillId="12" borderId="2" xfId="0" applyFont="1" applyFill="1" applyBorder="1" applyAlignment="1">
      <alignment horizontal="center" vertical="center" wrapText="1"/>
    </xf>
    <xf numFmtId="0" fontId="27" fillId="12" borderId="28" xfId="0" applyFont="1" applyFill="1" applyBorder="1" applyAlignment="1">
      <alignment horizontal="center" vertical="center"/>
    </xf>
    <xf numFmtId="14" fontId="0" fillId="0" borderId="2" xfId="0" applyNumberFormat="1" applyBorder="1" applyAlignment="1">
      <alignment horizontal="center"/>
    </xf>
    <xf numFmtId="0" fontId="12" fillId="14" borderId="0" xfId="0" applyFont="1" applyFill="1"/>
    <xf numFmtId="0" fontId="12" fillId="14" borderId="34" xfId="0" applyFont="1" applyFill="1" applyBorder="1"/>
    <xf numFmtId="0" fontId="20" fillId="14" borderId="0" xfId="0" applyFont="1" applyFill="1" applyAlignment="1">
      <alignment vertical="center" wrapText="1"/>
    </xf>
    <xf numFmtId="0" fontId="20" fillId="14" borderId="0" xfId="0" applyFont="1" applyFill="1" applyAlignment="1">
      <alignment horizontal="center" vertical="center" wrapText="1"/>
    </xf>
    <xf numFmtId="0" fontId="20" fillId="14" borderId="0" xfId="0" applyFont="1" applyFill="1" applyAlignment="1">
      <alignment horizontal="left" vertical="center" wrapText="1"/>
    </xf>
    <xf numFmtId="0" fontId="12" fillId="14" borderId="34" xfId="0" applyFont="1" applyFill="1" applyBorder="1" applyAlignment="1">
      <alignment horizontal="left" vertical="center" wrapText="1"/>
    </xf>
    <xf numFmtId="0" fontId="20" fillId="14" borderId="0" xfId="0" applyFont="1" applyFill="1" applyAlignment="1">
      <alignment horizontal="center" vertical="center"/>
    </xf>
    <xf numFmtId="0" fontId="12" fillId="14" borderId="0" xfId="0" applyFont="1" applyFill="1" applyAlignment="1">
      <alignment horizontal="left" vertical="center" wrapText="1"/>
    </xf>
    <xf numFmtId="0" fontId="28" fillId="12" borderId="0" xfId="0" applyFont="1" applyFill="1" applyAlignment="1">
      <alignment horizontal="center" vertical="center"/>
    </xf>
    <xf numFmtId="0" fontId="14" fillId="14" borderId="1" xfId="6" applyFont="1" applyFill="1" applyBorder="1" applyAlignment="1">
      <alignment horizontal="left" vertical="center" wrapText="1"/>
    </xf>
    <xf numFmtId="0" fontId="12" fillId="14" borderId="0" xfId="0" applyFont="1" applyFill="1" applyAlignment="1">
      <alignment horizontal="center"/>
    </xf>
    <xf numFmtId="0" fontId="12" fillId="14" borderId="0" xfId="0" applyFont="1" applyFill="1" applyAlignment="1">
      <alignment horizontal="left"/>
    </xf>
    <xf numFmtId="0" fontId="12" fillId="14" borderId="0" xfId="0" applyFont="1" applyFill="1" applyAlignment="1">
      <alignment textRotation="90"/>
    </xf>
    <xf numFmtId="0" fontId="12" fillId="14" borderId="0" xfId="0" applyFont="1" applyFill="1" applyAlignment="1">
      <alignment horizontal="center" vertical="center" wrapText="1"/>
    </xf>
    <xf numFmtId="0" fontId="14" fillId="14" borderId="1" xfId="6" applyFont="1" applyFill="1" applyBorder="1" applyAlignment="1">
      <alignment horizontal="right" wrapText="1"/>
    </xf>
    <xf numFmtId="0" fontId="14" fillId="14" borderId="1" xfId="6" applyFont="1" applyFill="1" applyBorder="1" applyAlignment="1">
      <alignment horizontal="left" wrapText="1"/>
    </xf>
    <xf numFmtId="0" fontId="30" fillId="0" borderId="2" xfId="0" applyFont="1" applyBorder="1" applyAlignment="1">
      <alignment horizontal="center" vertical="center" wrapText="1"/>
    </xf>
    <xf numFmtId="0" fontId="30" fillId="0" borderId="2" xfId="0" applyFont="1" applyBorder="1" applyAlignment="1" applyProtection="1">
      <alignment horizontal="center" vertical="center" textRotation="90" wrapText="1"/>
      <protection locked="0"/>
    </xf>
    <xf numFmtId="0" fontId="31" fillId="14" borderId="2" xfId="0" applyFont="1" applyFill="1" applyBorder="1" applyAlignment="1">
      <alignment horizontal="center" vertical="center" wrapText="1"/>
    </xf>
    <xf numFmtId="0" fontId="30" fillId="14" borderId="2" xfId="0" applyFont="1" applyFill="1" applyBorder="1" applyAlignment="1">
      <alignment horizontal="center" vertical="center" wrapText="1"/>
    </xf>
    <xf numFmtId="0" fontId="30" fillId="0" borderId="2" xfId="0" applyFont="1" applyBorder="1" applyAlignment="1">
      <alignment horizontal="center" vertical="center" textRotation="90" wrapText="1"/>
    </xf>
    <xf numFmtId="0" fontId="12" fillId="14" borderId="2" xfId="0" applyFont="1" applyFill="1" applyBorder="1" applyAlignment="1">
      <alignment horizontal="center" vertical="center"/>
    </xf>
    <xf numFmtId="0" fontId="12" fillId="0" borderId="2" xfId="3" applyFont="1" applyBorder="1" applyAlignment="1" applyProtection="1">
      <alignment horizontal="center" vertical="center" wrapText="1"/>
      <protection locked="0"/>
    </xf>
    <xf numFmtId="0" fontId="12" fillId="14" borderId="2" xfId="0" applyFont="1" applyFill="1" applyBorder="1" applyAlignment="1">
      <alignment horizontal="left" vertical="center" wrapText="1"/>
    </xf>
    <xf numFmtId="1" fontId="12" fillId="14" borderId="2" xfId="0" applyNumberFormat="1" applyFont="1" applyFill="1" applyBorder="1" applyAlignment="1">
      <alignment horizontal="center" vertical="center"/>
    </xf>
    <xf numFmtId="0" fontId="12" fillId="14" borderId="2" xfId="3" applyFont="1" applyFill="1" applyBorder="1" applyAlignment="1" applyProtection="1">
      <alignment horizontal="center" vertical="center" wrapText="1"/>
      <protection locked="0"/>
    </xf>
    <xf numFmtId="0" fontId="12" fillId="14" borderId="0" xfId="0" applyFont="1" applyFill="1" applyProtection="1">
      <protection locked="0"/>
    </xf>
    <xf numFmtId="0" fontId="12" fillId="14" borderId="0" xfId="0" applyFont="1" applyFill="1" applyAlignment="1" applyProtection="1">
      <alignment horizontal="center"/>
      <protection locked="0"/>
    </xf>
    <xf numFmtId="0" fontId="12" fillId="14" borderId="0" xfId="0" applyFont="1" applyFill="1" applyAlignment="1" applyProtection="1">
      <alignment horizontal="justify"/>
      <protection locked="0"/>
    </xf>
    <xf numFmtId="0" fontId="12" fillId="14" borderId="0" xfId="0" applyFont="1" applyFill="1" applyAlignment="1" applyProtection="1">
      <alignment horizontal="left"/>
      <protection locked="0"/>
    </xf>
    <xf numFmtId="0" fontId="12" fillId="14" borderId="0" xfId="0" applyFont="1" applyFill="1" applyAlignment="1" applyProtection="1">
      <alignment textRotation="90"/>
      <protection locked="0"/>
    </xf>
    <xf numFmtId="0" fontId="12" fillId="14" borderId="2" xfId="3" applyFont="1" applyFill="1" applyBorder="1" applyAlignment="1">
      <alignment horizontal="center" vertical="center" wrapText="1"/>
    </xf>
    <xf numFmtId="0" fontId="14" fillId="0" borderId="2" xfId="0" applyFont="1" applyBorder="1" applyAlignment="1">
      <alignment horizontal="center" vertical="center" wrapText="1"/>
    </xf>
    <xf numFmtId="0" fontId="12" fillId="0" borderId="2" xfId="3" applyFont="1" applyBorder="1" applyAlignment="1">
      <alignment horizontal="center" vertical="center" wrapText="1"/>
    </xf>
    <xf numFmtId="0" fontId="12" fillId="0" borderId="2" xfId="3" applyFont="1" applyBorder="1" applyAlignment="1">
      <alignment horizontal="left" vertical="center" wrapText="1"/>
    </xf>
    <xf numFmtId="0" fontId="12" fillId="14" borderId="33" xfId="0" applyFont="1" applyFill="1" applyBorder="1"/>
    <xf numFmtId="0" fontId="30" fillId="14" borderId="2" xfId="0" applyFont="1" applyFill="1" applyBorder="1" applyAlignment="1">
      <alignment horizontal="left" vertical="center" wrapText="1"/>
    </xf>
    <xf numFmtId="0" fontId="30" fillId="0" borderId="2" xfId="0" applyFont="1" applyBorder="1" applyAlignment="1">
      <alignment horizontal="left" vertical="center" wrapText="1"/>
    </xf>
    <xf numFmtId="0" fontId="12" fillId="14" borderId="2" xfId="0" applyFont="1" applyFill="1" applyBorder="1" applyAlignment="1" applyProtection="1">
      <alignment horizontal="left" vertical="center" wrapText="1"/>
      <protection locked="0"/>
    </xf>
    <xf numFmtId="0" fontId="12" fillId="0" borderId="21" xfId="3" applyFont="1" applyBorder="1" applyAlignment="1" applyProtection="1">
      <alignment horizontal="center" vertical="center" wrapText="1"/>
      <protection locked="0"/>
    </xf>
    <xf numFmtId="0" fontId="20" fillId="14" borderId="2" xfId="0" applyFont="1" applyFill="1" applyBorder="1" applyAlignment="1" applyProtection="1">
      <alignment horizontal="center" vertical="center" wrapText="1"/>
      <protection locked="0"/>
    </xf>
    <xf numFmtId="0" fontId="12" fillId="14" borderId="56" xfId="0" applyFont="1" applyFill="1" applyBorder="1" applyAlignment="1" applyProtection="1">
      <alignment horizontal="center" vertical="center" wrapText="1"/>
      <protection locked="0"/>
    </xf>
    <xf numFmtId="0" fontId="12" fillId="14" borderId="2" xfId="3" applyFont="1" applyFill="1" applyBorder="1" applyAlignment="1" applyProtection="1">
      <alignment horizontal="left" vertical="center" wrapText="1"/>
      <protection locked="0"/>
    </xf>
    <xf numFmtId="0" fontId="12" fillId="0" borderId="8" xfId="5" applyFont="1" applyBorder="1" applyAlignment="1">
      <alignment horizontal="left" vertical="center" wrapText="1"/>
    </xf>
    <xf numFmtId="0" fontId="29" fillId="12" borderId="39" xfId="0" applyFont="1" applyFill="1" applyBorder="1" applyAlignment="1">
      <alignment horizontal="center" vertical="center" wrapText="1"/>
    </xf>
    <xf numFmtId="0" fontId="30" fillId="0" borderId="21" xfId="0" applyFont="1" applyBorder="1" applyAlignment="1">
      <alignment horizontal="center" vertical="center" wrapText="1"/>
    </xf>
    <xf numFmtId="0" fontId="12" fillId="0" borderId="2" xfId="5" applyFont="1" applyBorder="1" applyAlignment="1">
      <alignment horizontal="center" vertical="center" wrapText="1"/>
    </xf>
    <xf numFmtId="0" fontId="12" fillId="0" borderId="8" xfId="5" applyFont="1" applyBorder="1" applyAlignment="1">
      <alignment horizontal="center" vertical="center" wrapText="1"/>
    </xf>
    <xf numFmtId="0" fontId="30" fillId="0" borderId="2" xfId="1" applyFont="1" applyBorder="1" applyAlignment="1">
      <alignment horizontal="center" vertical="center" wrapText="1"/>
    </xf>
    <xf numFmtId="0" fontId="12" fillId="14" borderId="33" xfId="0" applyFont="1" applyFill="1" applyBorder="1" applyAlignment="1">
      <alignment horizontal="center" vertical="center"/>
    </xf>
    <xf numFmtId="0" fontId="12" fillId="14" borderId="2" xfId="0" applyFont="1" applyFill="1" applyBorder="1" applyAlignment="1" applyProtection="1">
      <alignment horizontal="center" vertical="center" wrapText="1"/>
      <protection locked="0"/>
    </xf>
    <xf numFmtId="0" fontId="20" fillId="14" borderId="2" xfId="0" applyFont="1" applyFill="1" applyBorder="1" applyAlignment="1">
      <alignment horizontal="center" vertical="center"/>
    </xf>
    <xf numFmtId="0" fontId="29" fillId="12" borderId="2"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9" fillId="12" borderId="36" xfId="0" applyFont="1" applyFill="1" applyBorder="1" applyAlignment="1">
      <alignment horizontal="center" vertical="center" textRotation="90" wrapText="1"/>
    </xf>
    <xf numFmtId="0" fontId="29" fillId="12" borderId="38" xfId="0" applyFont="1" applyFill="1" applyBorder="1" applyAlignment="1">
      <alignment horizontal="center" vertical="center" textRotation="90" wrapText="1"/>
    </xf>
    <xf numFmtId="0" fontId="29" fillId="12" borderId="36" xfId="0" applyFont="1" applyFill="1" applyBorder="1" applyAlignment="1">
      <alignment horizontal="center" vertical="center" wrapText="1"/>
    </xf>
    <xf numFmtId="0" fontId="12" fillId="14" borderId="2" xfId="0" applyFont="1" applyFill="1" applyBorder="1" applyAlignment="1">
      <alignment horizontal="center" vertical="center" wrapText="1"/>
    </xf>
    <xf numFmtId="0" fontId="2" fillId="0" borderId="2" xfId="5" applyFont="1" applyBorder="1" applyAlignment="1">
      <alignment horizontal="center" vertical="center" wrapText="1"/>
    </xf>
    <xf numFmtId="0" fontId="2" fillId="0" borderId="2" xfId="5" applyFont="1" applyBorder="1" applyAlignment="1">
      <alignment horizontal="center" vertical="center"/>
    </xf>
    <xf numFmtId="0" fontId="2" fillId="7" borderId="2" xfId="5" applyFont="1" applyFill="1" applyBorder="1" applyAlignment="1">
      <alignment horizontal="left" vertical="center"/>
    </xf>
    <xf numFmtId="0" fontId="23" fillId="12" borderId="2" xfId="5" applyFont="1" applyFill="1" applyBorder="1" applyAlignment="1">
      <alignment horizontal="center"/>
    </xf>
    <xf numFmtId="0" fontId="9" fillId="14" borderId="2" xfId="0" applyFont="1" applyFill="1" applyBorder="1" applyAlignment="1">
      <alignment horizontal="justify" vertical="center" wrapText="1"/>
    </xf>
    <xf numFmtId="0" fontId="1" fillId="0" borderId="2" xfId="0" applyFont="1" applyBorder="1"/>
    <xf numFmtId="0" fontId="20" fillId="13" borderId="2" xfId="0" applyFont="1" applyFill="1" applyBorder="1" applyAlignment="1">
      <alignment horizontal="center" vertical="center" textRotation="90" wrapText="1"/>
    </xf>
    <xf numFmtId="0" fontId="20" fillId="13" borderId="2" xfId="5" applyFont="1" applyFill="1" applyBorder="1" applyAlignment="1">
      <alignment horizontal="center" vertical="center" textRotation="90" wrapText="1"/>
    </xf>
    <xf numFmtId="0" fontId="20" fillId="13" borderId="2" xfId="3" applyFont="1" applyFill="1" applyBorder="1" applyAlignment="1" applyProtection="1">
      <alignment horizontal="center" vertical="center" textRotation="90" wrapText="1"/>
      <protection locked="0"/>
    </xf>
    <xf numFmtId="0" fontId="12" fillId="14" borderId="55" xfId="0" applyFont="1" applyFill="1" applyBorder="1" applyAlignment="1" applyProtection="1">
      <alignment horizontal="center" vertical="center" wrapText="1"/>
      <protection locked="0"/>
    </xf>
    <xf numFmtId="0" fontId="12" fillId="14" borderId="0" xfId="5" applyFont="1" applyFill="1" applyAlignment="1">
      <alignment vertical="center" wrapText="1"/>
    </xf>
    <xf numFmtId="0" fontId="12" fillId="14" borderId="2" xfId="5" applyFont="1" applyFill="1" applyBorder="1" applyAlignment="1">
      <alignment horizontal="center" vertical="center" wrapText="1"/>
    </xf>
    <xf numFmtId="0" fontId="12" fillId="14" borderId="8" xfId="0" applyFont="1" applyFill="1" applyBorder="1" applyAlignment="1" applyProtection="1">
      <alignment horizontal="left" vertical="center" wrapText="1"/>
      <protection locked="0"/>
    </xf>
    <xf numFmtId="0" fontId="12" fillId="14" borderId="2" xfId="5" applyFont="1" applyFill="1" applyBorder="1" applyAlignment="1">
      <alignment horizontal="center" vertical="center" wrapText="1"/>
    </xf>
    <xf numFmtId="0" fontId="12" fillId="14" borderId="12" xfId="0" applyFont="1" applyFill="1" applyBorder="1" applyAlignment="1">
      <alignment horizontal="center"/>
    </xf>
    <xf numFmtId="0" fontId="12" fillId="14" borderId="13" xfId="0" applyFont="1" applyFill="1" applyBorder="1" applyAlignment="1">
      <alignment horizontal="center"/>
    </xf>
    <xf numFmtId="0" fontId="12" fillId="14" borderId="30" xfId="0" applyFont="1" applyFill="1" applyBorder="1" applyAlignment="1">
      <alignment horizontal="center"/>
    </xf>
    <xf numFmtId="0" fontId="12" fillId="14" borderId="15" xfId="0" applyFont="1" applyFill="1" applyBorder="1" applyAlignment="1">
      <alignment horizontal="center"/>
    </xf>
    <xf numFmtId="0" fontId="12" fillId="14" borderId="2" xfId="0" applyFont="1" applyFill="1" applyBorder="1" applyAlignment="1">
      <alignment horizontal="center"/>
    </xf>
    <xf numFmtId="0" fontId="12" fillId="14" borderId="23" xfId="0" applyFont="1" applyFill="1" applyBorder="1" applyAlignment="1">
      <alignment horizontal="center"/>
    </xf>
    <xf numFmtId="0" fontId="12" fillId="14" borderId="17" xfId="0" applyFont="1" applyFill="1" applyBorder="1" applyAlignment="1">
      <alignment horizontal="center"/>
    </xf>
    <xf numFmtId="0" fontId="12" fillId="14" borderId="18" xfId="0" applyFont="1" applyFill="1" applyBorder="1" applyAlignment="1">
      <alignment horizontal="center"/>
    </xf>
    <xf numFmtId="0" fontId="12" fillId="14" borderId="25" xfId="0" applyFont="1" applyFill="1" applyBorder="1" applyAlignment="1">
      <alignment horizontal="center"/>
    </xf>
    <xf numFmtId="0" fontId="20" fillId="14" borderId="12" xfId="0" applyFont="1" applyFill="1" applyBorder="1" applyAlignment="1">
      <alignment horizontal="center" vertical="center" wrapText="1"/>
    </xf>
    <xf numFmtId="0" fontId="20" fillId="14" borderId="13" xfId="0" applyFont="1" applyFill="1" applyBorder="1" applyAlignment="1">
      <alignment horizontal="center" vertical="center" wrapText="1"/>
    </xf>
    <xf numFmtId="0" fontId="20" fillId="14" borderId="14" xfId="0" applyFont="1" applyFill="1" applyBorder="1" applyAlignment="1">
      <alignment horizontal="center" vertical="center" wrapText="1"/>
    </xf>
    <xf numFmtId="0" fontId="20" fillId="14" borderId="15"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0" fillId="14" borderId="16" xfId="0" applyFont="1" applyFill="1" applyBorder="1" applyAlignment="1">
      <alignment horizontal="center" vertical="center" wrapText="1"/>
    </xf>
    <xf numFmtId="0" fontId="20" fillId="14" borderId="17" xfId="0" applyFont="1" applyFill="1" applyBorder="1" applyAlignment="1">
      <alignment horizontal="center" vertical="center" wrapText="1"/>
    </xf>
    <xf numFmtId="0" fontId="20" fillId="14" borderId="18" xfId="0" applyFont="1" applyFill="1" applyBorder="1" applyAlignment="1">
      <alignment horizontal="center" vertical="center" wrapText="1"/>
    </xf>
    <xf numFmtId="0" fontId="20" fillId="14" borderId="19" xfId="0" applyFont="1" applyFill="1" applyBorder="1" applyAlignment="1">
      <alignment horizontal="center" vertical="center" wrapText="1"/>
    </xf>
    <xf numFmtId="0" fontId="29" fillId="12" borderId="23" xfId="0" applyFont="1" applyFill="1" applyBorder="1" applyAlignment="1">
      <alignment horizontal="center" vertical="center" wrapText="1"/>
    </xf>
    <xf numFmtId="0" fontId="29" fillId="12" borderId="37" xfId="0" applyFont="1" applyFill="1" applyBorder="1" applyAlignment="1">
      <alignment horizontal="center" vertical="center" wrapText="1"/>
    </xf>
    <xf numFmtId="0" fontId="29" fillId="12" borderId="45" xfId="0" applyFont="1" applyFill="1" applyBorder="1" applyAlignment="1">
      <alignment horizontal="center" vertical="center" textRotation="90" wrapText="1"/>
    </xf>
    <xf numFmtId="0" fontId="29" fillId="12" borderId="46" xfId="0" applyFont="1" applyFill="1" applyBorder="1" applyAlignment="1">
      <alignment horizontal="center" vertical="center" textRotation="90" wrapText="1"/>
    </xf>
    <xf numFmtId="0" fontId="20" fillId="15" borderId="49" xfId="0" applyFont="1" applyFill="1" applyBorder="1" applyAlignment="1" applyProtection="1">
      <alignment horizontal="center" vertical="center" textRotation="90" wrapText="1"/>
      <protection locked="0"/>
    </xf>
    <xf numFmtId="0" fontId="20" fillId="15" borderId="0" xfId="0" applyFont="1" applyFill="1" applyAlignment="1" applyProtection="1">
      <alignment horizontal="center" vertical="center" textRotation="90" wrapText="1"/>
      <protection locked="0"/>
    </xf>
    <xf numFmtId="0" fontId="20" fillId="16" borderId="49" xfId="0" applyFont="1" applyFill="1" applyBorder="1" applyAlignment="1" applyProtection="1">
      <alignment horizontal="center" vertical="center" textRotation="90" wrapText="1"/>
      <protection locked="0"/>
    </xf>
    <xf numFmtId="0" fontId="20" fillId="16" borderId="0" xfId="0" applyFont="1" applyFill="1" applyAlignment="1" applyProtection="1">
      <alignment horizontal="center" vertical="center" textRotation="90" wrapText="1"/>
      <protection locked="0"/>
    </xf>
    <xf numFmtId="0" fontId="29" fillId="12" borderId="36" xfId="0" applyFont="1" applyFill="1" applyBorder="1" applyAlignment="1">
      <alignment horizontal="center" vertical="center" textRotation="90" wrapText="1"/>
    </xf>
    <xf numFmtId="0" fontId="29" fillId="12" borderId="38" xfId="0" applyFont="1" applyFill="1" applyBorder="1" applyAlignment="1">
      <alignment horizontal="center" vertical="center" textRotation="90" wrapText="1"/>
    </xf>
    <xf numFmtId="0" fontId="29" fillId="12" borderId="36" xfId="0" applyFont="1" applyFill="1" applyBorder="1" applyAlignment="1">
      <alignment horizontal="center" vertical="center" wrapText="1"/>
    </xf>
    <xf numFmtId="0" fontId="29" fillId="12" borderId="38" xfId="0" applyFont="1" applyFill="1" applyBorder="1" applyAlignment="1">
      <alignment horizontal="center" vertical="center" wrapText="1"/>
    </xf>
    <xf numFmtId="0" fontId="29" fillId="12" borderId="35" xfId="0" applyFont="1" applyFill="1" applyBorder="1" applyAlignment="1">
      <alignment horizontal="center" vertical="center" wrapText="1"/>
    </xf>
    <xf numFmtId="0" fontId="12" fillId="14" borderId="42" xfId="0" applyFont="1" applyFill="1" applyBorder="1" applyAlignment="1">
      <alignment horizontal="center"/>
    </xf>
    <xf numFmtId="0" fontId="12" fillId="14" borderId="31" xfId="0" applyFont="1" applyFill="1" applyBorder="1" applyAlignment="1">
      <alignment horizontal="center"/>
    </xf>
    <xf numFmtId="0" fontId="12" fillId="14" borderId="37" xfId="0" applyFont="1" applyFill="1" applyBorder="1" applyAlignment="1">
      <alignment horizontal="center" vertical="center" wrapText="1"/>
    </xf>
    <xf numFmtId="0" fontId="12" fillId="14" borderId="32" xfId="0" applyFont="1" applyFill="1" applyBorder="1" applyAlignment="1">
      <alignment horizontal="center" vertical="center" wrapText="1"/>
    </xf>
    <xf numFmtId="0" fontId="12" fillId="14" borderId="43" xfId="0" applyFont="1" applyFill="1" applyBorder="1" applyAlignment="1">
      <alignment horizontal="center" vertical="center" wrapText="1"/>
    </xf>
    <xf numFmtId="0" fontId="12" fillId="14" borderId="19" xfId="0" applyFont="1" applyFill="1" applyBorder="1" applyAlignment="1">
      <alignment horizontal="center" vertical="center" wrapText="1"/>
    </xf>
    <xf numFmtId="17" fontId="12" fillId="14" borderId="2" xfId="0" applyNumberFormat="1" applyFont="1" applyFill="1" applyBorder="1" applyAlignment="1">
      <alignment horizontal="center" vertical="center" wrapText="1"/>
    </xf>
    <xf numFmtId="0" fontId="28" fillId="12" borderId="0" xfId="0" applyFont="1" applyFill="1" applyAlignment="1">
      <alignment horizontal="center" vertical="center" wrapText="1"/>
    </xf>
    <xf numFmtId="164" fontId="12" fillId="14" borderId="2" xfId="0" applyNumberFormat="1" applyFont="1" applyFill="1" applyBorder="1" applyAlignment="1">
      <alignment horizontal="center" vertical="center"/>
    </xf>
    <xf numFmtId="0" fontId="29" fillId="12" borderId="26" xfId="0" applyFont="1" applyFill="1" applyBorder="1" applyAlignment="1">
      <alignment horizontal="center" vertical="center" wrapText="1"/>
    </xf>
    <xf numFmtId="0" fontId="29" fillId="12" borderId="44" xfId="0" applyFont="1" applyFill="1" applyBorder="1" applyAlignment="1">
      <alignment horizontal="center" vertical="center" wrapText="1"/>
    </xf>
    <xf numFmtId="0" fontId="29" fillId="12" borderId="20" xfId="0" applyFont="1" applyFill="1" applyBorder="1" applyAlignment="1">
      <alignment horizontal="center" vertical="center" wrapText="1"/>
    </xf>
    <xf numFmtId="0" fontId="29" fillId="12" borderId="47" xfId="0" applyFont="1" applyFill="1" applyBorder="1" applyAlignment="1">
      <alignment horizontal="center" vertical="center" wrapText="1"/>
    </xf>
    <xf numFmtId="0" fontId="29" fillId="12" borderId="36" xfId="0" applyFont="1" applyFill="1" applyBorder="1" applyAlignment="1">
      <alignment horizontal="center" vertical="center" textRotation="90"/>
    </xf>
    <xf numFmtId="0" fontId="29" fillId="12" borderId="38" xfId="0" applyFont="1" applyFill="1" applyBorder="1" applyAlignment="1">
      <alignment horizontal="center" vertical="center" textRotation="90"/>
    </xf>
    <xf numFmtId="0" fontId="27" fillId="12" borderId="53" xfId="0" applyFont="1" applyFill="1" applyBorder="1" applyAlignment="1">
      <alignment horizontal="center" vertical="center"/>
    </xf>
    <xf numFmtId="0" fontId="27" fillId="12" borderId="50" xfId="0" applyFont="1" applyFill="1" applyBorder="1" applyAlignment="1">
      <alignment horizontal="center" vertical="center"/>
    </xf>
    <xf numFmtId="0" fontId="10" fillId="2" borderId="0" xfId="5" applyFont="1" applyFill="1" applyAlignment="1">
      <alignment horizontal="center"/>
    </xf>
    <xf numFmtId="0" fontId="10" fillId="0" borderId="33" xfId="5" applyFont="1" applyBorder="1" applyAlignment="1">
      <alignment horizontal="center"/>
    </xf>
    <xf numFmtId="0" fontId="2" fillId="0" borderId="2" xfId="5" applyFont="1" applyBorder="1" applyAlignment="1">
      <alignment horizontal="center" vertical="center" wrapText="1"/>
    </xf>
    <xf numFmtId="0" fontId="2" fillId="0" borderId="36" xfId="5" applyFont="1" applyBorder="1" applyAlignment="1">
      <alignment horizontal="center" vertical="center"/>
    </xf>
    <xf numFmtId="0" fontId="2" fillId="0" borderId="21" xfId="5" applyFont="1" applyBorder="1" applyAlignment="1">
      <alignment horizontal="center" vertical="center"/>
    </xf>
    <xf numFmtId="0" fontId="2" fillId="5" borderId="36" xfId="5" applyFont="1" applyFill="1" applyBorder="1" applyAlignment="1">
      <alignment horizontal="left" vertical="center" wrapText="1"/>
    </xf>
    <xf numFmtId="0" fontId="2" fillId="5" borderId="21" xfId="5" applyFont="1" applyFill="1" applyBorder="1" applyAlignment="1">
      <alignment horizontal="left" vertical="center" wrapText="1"/>
    </xf>
    <xf numFmtId="0" fontId="2" fillId="0" borderId="2" xfId="5" applyFont="1" applyBorder="1" applyAlignment="1">
      <alignment horizontal="center" vertical="center"/>
    </xf>
    <xf numFmtId="0" fontId="2" fillId="6" borderId="36" xfId="5" applyFont="1" applyFill="1" applyBorder="1" applyAlignment="1">
      <alignment horizontal="left" vertical="center" wrapText="1"/>
    </xf>
    <xf numFmtId="0" fontId="2" fillId="6" borderId="21" xfId="5" applyFont="1" applyFill="1" applyBorder="1" applyAlignment="1">
      <alignment horizontal="left" vertical="center" wrapText="1"/>
    </xf>
    <xf numFmtId="0" fontId="2" fillId="7" borderId="2" xfId="5" applyFont="1" applyFill="1" applyBorder="1" applyAlignment="1">
      <alignment horizontal="left" vertical="center"/>
    </xf>
    <xf numFmtId="0" fontId="23" fillId="12" borderId="2" xfId="5" applyFont="1" applyFill="1" applyBorder="1" applyAlignment="1">
      <alignment horizontal="center" vertical="center" wrapText="1"/>
    </xf>
    <xf numFmtId="0" fontId="23" fillId="12" borderId="2" xfId="5" applyFont="1" applyFill="1" applyBorder="1" applyAlignment="1">
      <alignment horizontal="center"/>
    </xf>
    <xf numFmtId="0" fontId="2" fillId="7" borderId="2" xfId="5" applyFont="1" applyFill="1" applyBorder="1" applyAlignment="1">
      <alignment horizontal="left" vertical="center" wrapText="1"/>
    </xf>
    <xf numFmtId="0" fontId="2" fillId="0" borderId="36" xfId="5" applyFont="1" applyBorder="1" applyAlignment="1">
      <alignment horizontal="center" vertical="center" wrapText="1"/>
    </xf>
    <xf numFmtId="0" fontId="2" fillId="0" borderId="38" xfId="5" applyFont="1" applyBorder="1" applyAlignment="1">
      <alignment horizontal="center" vertical="center" wrapText="1"/>
    </xf>
    <xf numFmtId="0" fontId="2" fillId="0" borderId="21" xfId="5" applyFont="1" applyBorder="1" applyAlignment="1">
      <alignment horizontal="center" vertical="center" wrapText="1"/>
    </xf>
    <xf numFmtId="0" fontId="10" fillId="0" borderId="0" xfId="5" applyFont="1" applyAlignment="1">
      <alignment horizontal="center"/>
    </xf>
    <xf numFmtId="0" fontId="23" fillId="12" borderId="0" xfId="5" applyFont="1" applyFill="1" applyAlignment="1">
      <alignment horizontal="center" vertical="center" wrapText="1"/>
    </xf>
    <xf numFmtId="0" fontId="23" fillId="12" borderId="41" xfId="5" applyFont="1" applyFill="1" applyBorder="1" applyAlignment="1">
      <alignment horizontal="center" vertical="center" wrapText="1"/>
    </xf>
    <xf numFmtId="0" fontId="23" fillId="12" borderId="33" xfId="5" applyFont="1" applyFill="1" applyBorder="1" applyAlignment="1">
      <alignment horizontal="center" vertical="center" wrapText="1"/>
    </xf>
    <xf numFmtId="0" fontId="23" fillId="12" borderId="40" xfId="5" applyFont="1" applyFill="1" applyBorder="1" applyAlignment="1">
      <alignment horizontal="center" vertical="center" wrapText="1"/>
    </xf>
    <xf numFmtId="0" fontId="23" fillId="12" borderId="23" xfId="5" applyFont="1" applyFill="1" applyBorder="1" applyAlignment="1">
      <alignment horizontal="center" vertical="center"/>
    </xf>
    <xf numFmtId="0" fontId="23" fillId="12" borderId="37" xfId="5" applyFont="1" applyFill="1" applyBorder="1" applyAlignment="1">
      <alignment horizontal="center" vertical="center"/>
    </xf>
    <xf numFmtId="0" fontId="23" fillId="12" borderId="35" xfId="5" applyFont="1" applyFill="1" applyBorder="1" applyAlignment="1">
      <alignment horizontal="center" vertical="center"/>
    </xf>
    <xf numFmtId="0" fontId="9" fillId="0" borderId="20" xfId="0" applyFont="1" applyBorder="1" applyAlignment="1">
      <alignment horizontal="justify" vertical="center" wrapText="1"/>
    </xf>
    <xf numFmtId="0" fontId="9" fillId="0" borderId="33" xfId="0" applyFont="1" applyBorder="1" applyAlignment="1">
      <alignment horizontal="justify" vertical="center" wrapText="1"/>
    </xf>
    <xf numFmtId="0" fontId="9" fillId="0" borderId="57" xfId="0" applyFont="1" applyBorder="1" applyAlignment="1">
      <alignment horizontal="justify" vertical="center" wrapText="1"/>
    </xf>
    <xf numFmtId="0" fontId="9" fillId="14" borderId="2" xfId="0" applyFont="1" applyFill="1" applyBorder="1" applyAlignment="1">
      <alignment horizontal="center" vertical="center" wrapText="1"/>
    </xf>
    <xf numFmtId="0" fontId="9" fillId="14" borderId="36" xfId="0" applyFont="1" applyFill="1" applyBorder="1" applyAlignment="1">
      <alignment horizontal="center" vertical="center" wrapText="1"/>
    </xf>
    <xf numFmtId="0" fontId="9" fillId="14" borderId="38" xfId="0" applyFont="1" applyFill="1" applyBorder="1" applyAlignment="1">
      <alignment horizontal="center" vertical="center" wrapText="1"/>
    </xf>
    <xf numFmtId="0" fontId="9" fillId="14" borderId="21" xfId="0" applyFont="1" applyFill="1" applyBorder="1" applyAlignment="1">
      <alignment horizontal="center" vertical="center" wrapText="1"/>
    </xf>
    <xf numFmtId="0" fontId="9" fillId="14" borderId="2" xfId="0" applyFont="1" applyFill="1" applyBorder="1" applyAlignment="1">
      <alignment horizontal="justify" vertical="center" wrapText="1"/>
    </xf>
    <xf numFmtId="0" fontId="8" fillId="17" borderId="26" xfId="0" applyFont="1" applyFill="1" applyBorder="1" applyAlignment="1">
      <alignment horizontal="center" vertical="center"/>
    </xf>
    <xf numFmtId="0" fontId="8" fillId="17" borderId="29" xfId="0" applyFont="1" applyFill="1" applyBorder="1" applyAlignment="1">
      <alignment horizontal="center" vertical="center"/>
    </xf>
    <xf numFmtId="0" fontId="8" fillId="17" borderId="44" xfId="0" applyFont="1" applyFill="1" applyBorder="1" applyAlignment="1">
      <alignment horizontal="center" vertical="center"/>
    </xf>
    <xf numFmtId="0" fontId="24" fillId="12" borderId="26" xfId="0" applyFont="1" applyFill="1" applyBorder="1" applyAlignment="1">
      <alignment horizontal="center" vertical="center" textRotation="90" wrapText="1"/>
    </xf>
    <xf numFmtId="0" fontId="24" fillId="12" borderId="34" xfId="0" applyFont="1" applyFill="1" applyBorder="1" applyAlignment="1">
      <alignment horizontal="center" vertical="center" textRotation="90" wrapText="1"/>
    </xf>
    <xf numFmtId="0" fontId="24" fillId="12" borderId="48" xfId="0" applyFont="1" applyFill="1" applyBorder="1" applyAlignment="1">
      <alignment horizontal="center" vertical="center" textRotation="90" wrapText="1"/>
    </xf>
    <xf numFmtId="0" fontId="25" fillId="8" borderId="51" xfId="1" applyFont="1" applyFill="1" applyBorder="1" applyAlignment="1">
      <alignment vertical="center" wrapText="1"/>
    </xf>
    <xf numFmtId="0" fontId="25" fillId="8" borderId="54" xfId="1" applyFont="1" applyFill="1" applyBorder="1" applyAlignment="1">
      <alignment vertical="center" wrapText="1"/>
    </xf>
    <xf numFmtId="0" fontId="25" fillId="8" borderId="52" xfId="1" applyFont="1" applyFill="1" applyBorder="1" applyAlignment="1">
      <alignment vertical="center" wrapText="1"/>
    </xf>
    <xf numFmtId="0" fontId="12" fillId="0" borderId="36" xfId="5" applyFont="1" applyBorder="1" applyAlignment="1">
      <alignment horizontal="center" vertical="center"/>
    </xf>
    <xf numFmtId="0" fontId="12" fillId="0" borderId="38" xfId="5" applyFont="1" applyBorder="1" applyAlignment="1">
      <alignment horizontal="center" vertical="center"/>
    </xf>
    <xf numFmtId="0" fontId="12" fillId="0" borderId="21" xfId="5" applyFont="1" applyBorder="1" applyAlignment="1">
      <alignment horizontal="center" vertical="center"/>
    </xf>
    <xf numFmtId="0" fontId="12" fillId="14" borderId="36" xfId="5" applyFont="1" applyFill="1" applyBorder="1" applyAlignment="1">
      <alignment horizontal="center" vertical="center" wrapText="1"/>
    </xf>
    <xf numFmtId="0" fontId="12" fillId="14" borderId="38" xfId="5" applyFont="1" applyFill="1" applyBorder="1" applyAlignment="1">
      <alignment horizontal="center" vertical="center" wrapText="1"/>
    </xf>
    <xf numFmtId="0" fontId="12" fillId="14" borderId="21" xfId="5" applyFont="1" applyFill="1" applyBorder="1" applyAlignment="1">
      <alignment horizontal="center" vertical="center" wrapText="1"/>
    </xf>
  </cellXfs>
  <cellStyles count="7">
    <cellStyle name="Normal" xfId="0" builtinId="0"/>
    <cellStyle name="Normal 10" xfId="1" xr:uid="{00000000-0005-0000-0000-000004000000}"/>
    <cellStyle name="Normal 2" xfId="2" xr:uid="{00000000-0005-0000-0000-000005000000}"/>
    <cellStyle name="Normal 2 2" xfId="3" xr:uid="{00000000-0005-0000-0000-000006000000}"/>
    <cellStyle name="Normal 3" xfId="4" xr:uid="{00000000-0005-0000-0000-000007000000}"/>
    <cellStyle name="Normal 4" xfId="5" xr:uid="{00000000-0005-0000-0000-000008000000}"/>
    <cellStyle name="Normal_Hoja2" xfId="6" xr:uid="{00000000-0005-0000-0000-000009000000}"/>
  </cellStyles>
  <dxfs count="29">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bogopeghdnino\Users\Users\diana.rodriguezn\Documents\Mis%20documentos%202017\IDENTIFICACION%20PELIGROS\MATRICES\NOROCCIDENTE\Matriz%20de%20Identificaci&#243;n%20de%20Peligros%20DOMESA%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Matriz"/>
      <sheetName val="2. Gestión del Riesgo"/>
      <sheetName val="3. Interpretaciones"/>
      <sheetName val="4. Lista de Peligros"/>
    </sheetNames>
    <sheetDataSet>
      <sheetData sheetId="0" refreshError="1"/>
      <sheetData sheetId="1" refreshError="1"/>
      <sheetData sheetId="2" refreshError="1"/>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IL35"/>
  <sheetViews>
    <sheetView tabSelected="1" topLeftCell="F1" zoomScale="40" zoomScaleNormal="40" workbookViewId="0">
      <pane ySplit="8" topLeftCell="A14" activePane="bottomLeft" state="frozen"/>
      <selection activeCell="G1" sqref="G1"/>
      <selection pane="bottomLeft" activeCell="Y26" sqref="Y26"/>
    </sheetView>
  </sheetViews>
  <sheetFormatPr baseColWidth="10" defaultColWidth="9.6640625" defaultRowHeight="13.2"/>
  <cols>
    <col min="1" max="1" width="9.6640625" style="98" customWidth="1"/>
    <col min="2" max="2" width="18.88671875" style="98" customWidth="1"/>
    <col min="3" max="3" width="28.6640625" style="124" customWidth="1"/>
    <col min="4" max="4" width="15.88671875" style="124" customWidth="1"/>
    <col min="5" max="5" width="5.5546875" style="125" customWidth="1"/>
    <col min="6" max="6" width="5.5546875" style="126" customWidth="1"/>
    <col min="7" max="7" width="6.21875" style="126" customWidth="1"/>
    <col min="8" max="8" width="25.6640625" style="124" bestFit="1" customWidth="1"/>
    <col min="9" max="9" width="33.44140625" style="124" bestFit="1" customWidth="1"/>
    <col min="10" max="10" width="19.88671875" style="124" customWidth="1"/>
    <col min="11" max="11" width="21.6640625" style="124" customWidth="1"/>
    <col min="12" max="12" width="23.5546875" style="124" customWidth="1"/>
    <col min="13" max="13" width="27.88671875" style="127" bestFit="1" customWidth="1"/>
    <col min="14" max="15" width="9.6640625" style="124" customWidth="1"/>
    <col min="16" max="16" width="9.6640625" style="98" customWidth="1"/>
    <col min="17" max="17" width="9.6640625" style="128" customWidth="1"/>
    <col min="18" max="18" width="9.6640625" style="98" customWidth="1"/>
    <col min="19" max="25" width="9.6640625" style="124" customWidth="1"/>
    <col min="26" max="27" width="9.6640625" style="98" customWidth="1"/>
    <col min="28" max="28" width="15.21875" style="98" customWidth="1"/>
    <col min="29" max="32" width="9.6640625" style="98" customWidth="1"/>
    <col min="33" max="33" width="31.5546875" style="98" customWidth="1"/>
    <col min="34" max="16384" width="9.6640625" style="98"/>
  </cols>
  <sheetData>
    <row r="1" spans="1:246">
      <c r="A1" s="170"/>
      <c r="B1" s="171"/>
      <c r="C1" s="172"/>
      <c r="D1" s="179" t="s">
        <v>527</v>
      </c>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1"/>
      <c r="AG1" s="201" t="s">
        <v>509</v>
      </c>
      <c r="AH1" s="202"/>
    </row>
    <row r="2" spans="1:246">
      <c r="A2" s="173"/>
      <c r="B2" s="174"/>
      <c r="C2" s="175"/>
      <c r="D2" s="182"/>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4"/>
      <c r="AG2" s="203" t="s">
        <v>0</v>
      </c>
      <c r="AH2" s="204"/>
    </row>
    <row r="3" spans="1:246" ht="13.8" thickBot="1">
      <c r="A3" s="176"/>
      <c r="B3" s="177"/>
      <c r="C3" s="178"/>
      <c r="D3" s="185"/>
      <c r="E3" s="186"/>
      <c r="F3" s="186"/>
      <c r="G3" s="186"/>
      <c r="H3" s="186"/>
      <c r="I3" s="186"/>
      <c r="J3" s="186"/>
      <c r="K3" s="186"/>
      <c r="L3" s="186"/>
      <c r="M3" s="186"/>
      <c r="N3" s="186"/>
      <c r="O3" s="186"/>
      <c r="P3" s="186"/>
      <c r="Q3" s="186"/>
      <c r="R3" s="186"/>
      <c r="S3" s="186"/>
      <c r="T3" s="186"/>
      <c r="U3" s="186"/>
      <c r="V3" s="186"/>
      <c r="W3" s="186"/>
      <c r="X3" s="186"/>
      <c r="Y3" s="186"/>
      <c r="Z3" s="186"/>
      <c r="AA3" s="186"/>
      <c r="AB3" s="186"/>
      <c r="AC3" s="186"/>
      <c r="AD3" s="186"/>
      <c r="AE3" s="186"/>
      <c r="AF3" s="187"/>
      <c r="AG3" s="205" t="s">
        <v>510</v>
      </c>
      <c r="AH3" s="206"/>
    </row>
    <row r="4" spans="1:246">
      <c r="A4" s="99"/>
      <c r="C4" s="98"/>
      <c r="D4" s="100"/>
      <c r="E4" s="100"/>
      <c r="F4" s="100"/>
      <c r="G4" s="100"/>
      <c r="H4" s="100"/>
      <c r="I4" s="100"/>
      <c r="J4" s="100"/>
      <c r="K4" s="100"/>
      <c r="L4" s="100"/>
      <c r="M4" s="102"/>
      <c r="N4" s="100"/>
      <c r="O4" s="100"/>
      <c r="P4" s="100"/>
      <c r="Q4" s="100"/>
      <c r="R4" s="100"/>
      <c r="S4" s="100"/>
      <c r="T4" s="100"/>
      <c r="U4" s="100"/>
      <c r="V4" s="100"/>
      <c r="W4" s="100"/>
      <c r="X4" s="100"/>
      <c r="Y4" s="100"/>
      <c r="Z4" s="100"/>
      <c r="AA4" s="100"/>
      <c r="AB4" s="100"/>
      <c r="AC4" s="100"/>
      <c r="AD4" s="100"/>
      <c r="AE4" s="100"/>
      <c r="AF4" s="100"/>
      <c r="AG4" s="100"/>
      <c r="AH4" s="101"/>
    </row>
    <row r="5" spans="1:246" s="105" customFormat="1" ht="13.2" customHeight="1">
      <c r="A5" s="103"/>
      <c r="B5" s="106" t="s">
        <v>1</v>
      </c>
      <c r="C5" s="207" t="s">
        <v>2</v>
      </c>
      <c r="D5" s="207"/>
      <c r="E5" s="104"/>
      <c r="F5" s="104"/>
      <c r="G5" s="104"/>
      <c r="H5" s="208" t="s">
        <v>3</v>
      </c>
      <c r="I5" s="208"/>
      <c r="J5" s="209">
        <v>45798</v>
      </c>
      <c r="K5" s="209"/>
      <c r="L5" s="209"/>
      <c r="M5" s="209"/>
      <c r="N5" s="209"/>
      <c r="IK5" s="107"/>
      <c r="IL5" s="107"/>
    </row>
    <row r="6" spans="1:246" s="105" customFormat="1" ht="13.8" thickBot="1">
      <c r="A6" s="103"/>
      <c r="C6" s="133"/>
      <c r="D6" s="133"/>
      <c r="E6" s="108"/>
      <c r="F6" s="98"/>
      <c r="G6" s="98"/>
      <c r="H6" s="98"/>
      <c r="I6" s="98"/>
      <c r="J6" s="98"/>
      <c r="K6" s="98"/>
      <c r="L6" s="98"/>
      <c r="M6" s="109"/>
      <c r="N6" s="98"/>
      <c r="O6" s="98"/>
      <c r="P6" s="98"/>
      <c r="Q6" s="110"/>
      <c r="R6" s="98"/>
      <c r="S6" s="98"/>
      <c r="T6" s="98"/>
      <c r="U6" s="98"/>
      <c r="V6" s="98"/>
      <c r="W6" s="98"/>
      <c r="X6" s="98"/>
      <c r="Y6" s="98"/>
      <c r="Z6" s="98"/>
      <c r="AA6" s="98"/>
      <c r="AB6" s="98"/>
      <c r="AC6" s="98"/>
      <c r="IK6" s="107"/>
      <c r="IL6" s="107"/>
    </row>
    <row r="7" spans="1:246" s="111" customFormat="1" ht="52.8">
      <c r="A7" s="190" t="s">
        <v>4</v>
      </c>
      <c r="B7" s="196" t="s">
        <v>5</v>
      </c>
      <c r="C7" s="196" t="s">
        <v>6</v>
      </c>
      <c r="D7" s="198" t="s">
        <v>7</v>
      </c>
      <c r="E7" s="188" t="s">
        <v>8</v>
      </c>
      <c r="F7" s="200"/>
      <c r="G7" s="196" t="s">
        <v>9</v>
      </c>
      <c r="H7" s="214" t="s">
        <v>10</v>
      </c>
      <c r="I7" s="196" t="s">
        <v>11</v>
      </c>
      <c r="J7" s="198" t="s">
        <v>12</v>
      </c>
      <c r="K7" s="188" t="s">
        <v>13</v>
      </c>
      <c r="L7" s="189"/>
      <c r="M7" s="200"/>
      <c r="N7" s="188" t="s">
        <v>14</v>
      </c>
      <c r="O7" s="189"/>
      <c r="P7" s="189"/>
      <c r="Q7" s="189"/>
      <c r="R7" s="189"/>
      <c r="S7" s="189"/>
      <c r="T7" s="200"/>
      <c r="U7" s="150" t="s">
        <v>15</v>
      </c>
      <c r="V7" s="188" t="s">
        <v>16</v>
      </c>
      <c r="W7" s="189"/>
      <c r="X7" s="189"/>
      <c r="Y7" s="189"/>
      <c r="Z7" s="189"/>
      <c r="AA7" s="189"/>
      <c r="AB7" s="189"/>
      <c r="AC7" s="200"/>
      <c r="AD7" s="188" t="s">
        <v>17</v>
      </c>
      <c r="AE7" s="189"/>
      <c r="AF7" s="189"/>
      <c r="AG7" s="189"/>
      <c r="AH7" s="189"/>
      <c r="AI7" s="188" t="s">
        <v>14</v>
      </c>
      <c r="AJ7" s="189"/>
      <c r="AK7" s="189"/>
      <c r="AL7" s="189"/>
      <c r="AM7" s="189"/>
      <c r="AN7" s="189"/>
      <c r="AO7" s="200"/>
      <c r="AP7" s="150" t="s">
        <v>15</v>
      </c>
      <c r="AQ7" s="210" t="s">
        <v>18</v>
      </c>
      <c r="AR7" s="211"/>
      <c r="IK7" s="112"/>
      <c r="IL7" s="113"/>
    </row>
    <row r="8" spans="1:246" s="111" customFormat="1" ht="82.8" customHeight="1">
      <c r="A8" s="191"/>
      <c r="B8" s="197"/>
      <c r="C8" s="197"/>
      <c r="D8" s="199"/>
      <c r="E8" s="152" t="s">
        <v>19</v>
      </c>
      <c r="F8" s="152" t="s">
        <v>20</v>
      </c>
      <c r="G8" s="197"/>
      <c r="H8" s="215"/>
      <c r="I8" s="197"/>
      <c r="J8" s="199"/>
      <c r="K8" s="152" t="s">
        <v>21</v>
      </c>
      <c r="L8" s="152" t="s">
        <v>22</v>
      </c>
      <c r="M8" s="152" t="s">
        <v>23</v>
      </c>
      <c r="N8" s="153" t="s">
        <v>24</v>
      </c>
      <c r="O8" s="153" t="s">
        <v>25</v>
      </c>
      <c r="P8" s="153" t="s">
        <v>26</v>
      </c>
      <c r="Q8" s="153" t="s">
        <v>27</v>
      </c>
      <c r="R8" s="153" t="s">
        <v>28</v>
      </c>
      <c r="S8" s="153" t="s">
        <v>29</v>
      </c>
      <c r="T8" s="152" t="s">
        <v>30</v>
      </c>
      <c r="U8" s="153" t="s">
        <v>31</v>
      </c>
      <c r="V8" s="153" t="s">
        <v>32</v>
      </c>
      <c r="W8" s="153" t="s">
        <v>33</v>
      </c>
      <c r="X8" s="153" t="s">
        <v>34</v>
      </c>
      <c r="Y8" s="153" t="s">
        <v>35</v>
      </c>
      <c r="Z8" s="152" t="s">
        <v>36</v>
      </c>
      <c r="AA8" s="152" t="s">
        <v>37</v>
      </c>
      <c r="AB8" s="152" t="s">
        <v>38</v>
      </c>
      <c r="AC8" s="152" t="s">
        <v>39</v>
      </c>
      <c r="AD8" s="152" t="s">
        <v>40</v>
      </c>
      <c r="AE8" s="152" t="s">
        <v>41</v>
      </c>
      <c r="AF8" s="154" t="s">
        <v>42</v>
      </c>
      <c r="AG8" s="154" t="s">
        <v>59</v>
      </c>
      <c r="AH8" s="142" t="s">
        <v>60</v>
      </c>
      <c r="AI8" s="153" t="s">
        <v>24</v>
      </c>
      <c r="AJ8" s="153" t="s">
        <v>25</v>
      </c>
      <c r="AK8" s="153" t="s">
        <v>26</v>
      </c>
      <c r="AL8" s="153" t="s">
        <v>27</v>
      </c>
      <c r="AM8" s="153" t="s">
        <v>28</v>
      </c>
      <c r="AN8" s="153" t="s">
        <v>43</v>
      </c>
      <c r="AO8" s="152" t="s">
        <v>30</v>
      </c>
      <c r="AP8" s="153" t="s">
        <v>31</v>
      </c>
      <c r="AQ8" s="212"/>
      <c r="AR8" s="213"/>
      <c r="IK8" s="112"/>
      <c r="IL8" s="113"/>
    </row>
    <row r="9" spans="1:246" ht="142.19999999999999" customHeight="1">
      <c r="A9" s="192" t="s">
        <v>581</v>
      </c>
      <c r="B9" s="194" t="s">
        <v>582</v>
      </c>
      <c r="C9" s="169" t="s">
        <v>583</v>
      </c>
      <c r="D9" s="263" t="s">
        <v>528</v>
      </c>
      <c r="E9" s="151" t="s">
        <v>44</v>
      </c>
      <c r="F9" s="151"/>
      <c r="G9" s="162" t="s">
        <v>78</v>
      </c>
      <c r="H9" s="123" t="s">
        <v>61</v>
      </c>
      <c r="I9" s="144" t="s">
        <v>529</v>
      </c>
      <c r="J9" s="131" t="s">
        <v>530</v>
      </c>
      <c r="K9" s="117" t="s">
        <v>45</v>
      </c>
      <c r="L9" s="114" t="s">
        <v>511</v>
      </c>
      <c r="M9" s="114" t="s">
        <v>586</v>
      </c>
      <c r="N9" s="148"/>
      <c r="O9" s="148">
        <v>2</v>
      </c>
      <c r="P9" s="114">
        <f>N9*O9</f>
        <v>0</v>
      </c>
      <c r="Q9" s="115" t="str">
        <f>IF(P9&lt;=4,"BAJO",IF(P9&lt;=8,"MEDIO",IF(P9&lt;=20,"ALTO",IF(P9&lt;=40,"MUYALTO"))))</f>
        <v>BAJO</v>
      </c>
      <c r="R9" s="155">
        <v>10</v>
      </c>
      <c r="S9" s="116">
        <f>R9*P9</f>
        <v>0</v>
      </c>
      <c r="T9" s="117" t="str">
        <f>IF(S9&lt;=20,"IV",IF(S9&lt;=120,"III",IF(S9&lt;=500,"II",IF(S9&gt;=600,"I"))))</f>
        <v>IV</v>
      </c>
      <c r="U9" s="118" t="str">
        <f>LOOKUP(T9,{"I","II","III","IV"},{"NO ACEPTABLE","NO ACEPTABLE  O ACEPTABLE CON CONTROL ESPECÍFICO","ACEPTABLE","CONFORME"})</f>
        <v>CONFORME</v>
      </c>
      <c r="V9" s="114">
        <v>4</v>
      </c>
      <c r="W9" s="114">
        <v>0</v>
      </c>
      <c r="X9" s="114">
        <v>0</v>
      </c>
      <c r="Y9" s="114">
        <v>0</v>
      </c>
      <c r="Z9" s="119">
        <f t="shared" ref="Z9:Z25" si="0">SUM(V9+W9+X9+Y9)</f>
        <v>4</v>
      </c>
      <c r="AA9" s="119">
        <v>6</v>
      </c>
      <c r="AB9" s="155" t="s">
        <v>531</v>
      </c>
      <c r="AC9" s="155" t="s">
        <v>46</v>
      </c>
      <c r="AD9" s="114" t="s">
        <v>47</v>
      </c>
      <c r="AE9" s="114" t="s">
        <v>47</v>
      </c>
      <c r="AF9" s="120" t="s">
        <v>47</v>
      </c>
      <c r="AG9" s="121" t="s">
        <v>587</v>
      </c>
      <c r="AH9" s="114" t="s">
        <v>47</v>
      </c>
      <c r="AI9" s="148">
        <v>0</v>
      </c>
      <c r="AJ9" s="148">
        <v>1</v>
      </c>
      <c r="AK9" s="114">
        <f>AI9*AJ9</f>
        <v>0</v>
      </c>
      <c r="AL9" s="115" t="str">
        <f>IF(AK9&lt;=4,"BAJO",IF(AK9&lt;=8,"MEDIO",IF(AK9&lt;=20,"ALTO",IF(AK9&lt;=40,"MUYALTO"))))</f>
        <v>BAJO</v>
      </c>
      <c r="AM9" s="155">
        <v>10</v>
      </c>
      <c r="AN9" s="116">
        <f>AM9*AK9</f>
        <v>0</v>
      </c>
      <c r="AO9" s="117" t="str">
        <f>IF(AN9&lt;=20,"IV",IF(AN9&lt;=120,"III",IF(AN9&lt;=500,"II",IF(AN9&gt;=600,"I"))))</f>
        <v>IV</v>
      </c>
      <c r="AP9" s="118" t="str">
        <f>LOOKUP(AO9,{"I","II","III","IV"},{"NO ACEPTABLE","NO ACEPTABLE  O ACEPTABLE CON CONTROL ESPECÍFICO","ACEPTABLE","CONFORME"})</f>
        <v>CONFORME</v>
      </c>
      <c r="AQ9" s="119">
        <f>S9</f>
        <v>0</v>
      </c>
      <c r="AR9" s="122" t="e">
        <f>((AQ9-AN9)/AQ9)*100</f>
        <v>#DIV/0!</v>
      </c>
    </row>
    <row r="10" spans="1:246" ht="66">
      <c r="A10" s="193"/>
      <c r="B10" s="195"/>
      <c r="C10" s="169"/>
      <c r="D10" s="264"/>
      <c r="E10" s="151" t="s">
        <v>44</v>
      </c>
      <c r="F10" s="151"/>
      <c r="G10" s="162" t="s">
        <v>49</v>
      </c>
      <c r="H10" s="155" t="s">
        <v>79</v>
      </c>
      <c r="I10" s="144" t="s">
        <v>532</v>
      </c>
      <c r="J10" s="165" t="s">
        <v>80</v>
      </c>
      <c r="K10" s="114" t="s">
        <v>45</v>
      </c>
      <c r="L10" s="146" t="s">
        <v>45</v>
      </c>
      <c r="M10" s="114" t="s">
        <v>512</v>
      </c>
      <c r="N10" s="148">
        <v>2</v>
      </c>
      <c r="O10" s="148">
        <v>3</v>
      </c>
      <c r="P10" s="114">
        <f>N10*O10</f>
        <v>6</v>
      </c>
      <c r="Q10" s="115" t="str">
        <f>IF(P10&lt;=4,"BAJO",IF(P10&lt;=8,"MEDIO",IF(P10&lt;=20,"ALTO",IF(P10&lt;=40,"MUYALTO"))))</f>
        <v>MEDIO</v>
      </c>
      <c r="R10" s="155">
        <v>10</v>
      </c>
      <c r="S10" s="116">
        <f>R10*P10</f>
        <v>60</v>
      </c>
      <c r="T10" s="117" t="str">
        <f>IF(S10&lt;=20,"IV",IF(S10&lt;=120,"III",IF(S10&lt;=500,"II",IF(S10&gt;=600,"I"))))</f>
        <v>III</v>
      </c>
      <c r="U10" s="118" t="str">
        <f>LOOKUP(T10,{"I","II","III","IV"},{"NO ACEPTABLE","NO ACEPTABLE  O ACEPTABLE CON CONTROL ESPECÍFICO","ACEPTABLE","CONFORME"})</f>
        <v>ACEPTABLE</v>
      </c>
      <c r="V10" s="114">
        <v>4</v>
      </c>
      <c r="W10" s="114">
        <v>0</v>
      </c>
      <c r="X10" s="114">
        <v>0</v>
      </c>
      <c r="Y10" s="114">
        <v>0</v>
      </c>
      <c r="Z10" s="119">
        <f t="shared" si="0"/>
        <v>4</v>
      </c>
      <c r="AA10" s="119">
        <v>4</v>
      </c>
      <c r="AB10" s="139" t="s">
        <v>81</v>
      </c>
      <c r="AC10" s="155" t="s">
        <v>48</v>
      </c>
      <c r="AD10" s="120" t="s">
        <v>47</v>
      </c>
      <c r="AE10" s="147" t="s">
        <v>47</v>
      </c>
      <c r="AF10" s="120" t="s">
        <v>47</v>
      </c>
      <c r="AG10" s="121" t="s">
        <v>513</v>
      </c>
      <c r="AH10" s="120" t="s">
        <v>47</v>
      </c>
      <c r="AI10" s="148">
        <v>2</v>
      </c>
      <c r="AJ10" s="148">
        <v>2</v>
      </c>
      <c r="AK10" s="114">
        <f>AI10*AJ10</f>
        <v>4</v>
      </c>
      <c r="AL10" s="115" t="str">
        <f>IF(AK10&lt;=4,"BAJO",IF(AK10&lt;=8,"MEDIO",IF(AK10&lt;=20,"ALTO",IF(AK10&lt;=40,"MUYALTO"))))</f>
        <v>BAJO</v>
      </c>
      <c r="AM10" s="155">
        <v>10</v>
      </c>
      <c r="AN10" s="116">
        <f>AM10*AK10</f>
        <v>40</v>
      </c>
      <c r="AO10" s="117" t="str">
        <f>IF(AN10&lt;=20,"IV",IF(AN10&lt;=120,"III",IF(AN10&lt;=500,"II",IF(AN10&gt;=600,"I"))))</f>
        <v>III</v>
      </c>
      <c r="AP10" s="118" t="str">
        <f>LOOKUP(AO10,{"I","II","III","IV"},{"NO ACEPTABLE","NO ACEPTABLE  O ACEPTABLE CON CONTROL ESPECÍFICO","ACEPTABLE","CONFORME"})</f>
        <v>ACEPTABLE</v>
      </c>
      <c r="AQ10" s="119">
        <f>S10</f>
        <v>60</v>
      </c>
      <c r="AR10" s="122">
        <f>((AQ10-AN10)/AQ10)*100</f>
        <v>33.333333333333329</v>
      </c>
    </row>
    <row r="11" spans="1:246" ht="111.6" customHeight="1">
      <c r="A11" s="193"/>
      <c r="B11" s="195"/>
      <c r="C11" s="169"/>
      <c r="D11" s="264"/>
      <c r="E11" s="151" t="s">
        <v>44</v>
      </c>
      <c r="F11" s="151"/>
      <c r="G11" s="162" t="s">
        <v>49</v>
      </c>
      <c r="H11" s="123" t="s">
        <v>82</v>
      </c>
      <c r="I11" s="144" t="s">
        <v>83</v>
      </c>
      <c r="J11" s="131" t="s">
        <v>62</v>
      </c>
      <c r="K11" s="117" t="s">
        <v>84</v>
      </c>
      <c r="L11" s="114" t="s">
        <v>45</v>
      </c>
      <c r="M11" s="130" t="s">
        <v>514</v>
      </c>
      <c r="N11" s="148"/>
      <c r="O11" s="148">
        <v>3</v>
      </c>
      <c r="P11" s="114">
        <f>N11*O11</f>
        <v>0</v>
      </c>
      <c r="Q11" s="115" t="str">
        <f t="shared" ref="Q11:Q27" si="1">IF(P11&lt;=4,"BAJO",IF(P11&lt;=8,"MEDIO",IF(P11&lt;=20,"ALTO",IF(P11&lt;=40,"MUYALTO"))))</f>
        <v>BAJO</v>
      </c>
      <c r="R11" s="155">
        <v>10</v>
      </c>
      <c r="S11" s="116">
        <f>R11*P11</f>
        <v>0</v>
      </c>
      <c r="T11" s="117" t="str">
        <f t="shared" ref="T11:T27" si="2">IF(S11&lt;=20,"IV",IF(S11&lt;=120,"III",IF(S11&lt;=500,"II",IF(S11&gt;=600,"I"))))</f>
        <v>IV</v>
      </c>
      <c r="U11" s="118" t="str">
        <f>LOOKUP(T11,{"I","II","III","IV"},{"NO ACEPTABLE","NO ACEPTABLE  O ACEPTABLE CON CONTROL ESPECÍFICO","ACEPTABLE","CONFORME"})</f>
        <v>CONFORME</v>
      </c>
      <c r="V11" s="114">
        <v>4</v>
      </c>
      <c r="W11" s="114">
        <v>0</v>
      </c>
      <c r="X11" s="114">
        <v>0</v>
      </c>
      <c r="Y11" s="114">
        <v>0</v>
      </c>
      <c r="Z11" s="119">
        <f t="shared" si="0"/>
        <v>4</v>
      </c>
      <c r="AA11" s="119">
        <v>9</v>
      </c>
      <c r="AB11" s="155" t="s">
        <v>63</v>
      </c>
      <c r="AC11" s="155" t="s">
        <v>46</v>
      </c>
      <c r="AD11" s="114" t="s">
        <v>47</v>
      </c>
      <c r="AE11" s="114" t="s">
        <v>47</v>
      </c>
      <c r="AF11" s="114" t="s">
        <v>47</v>
      </c>
      <c r="AG11" s="121" t="s">
        <v>508</v>
      </c>
      <c r="AH11" s="114" t="s">
        <v>47</v>
      </c>
      <c r="AI11" s="148"/>
      <c r="AJ11" s="148">
        <v>3</v>
      </c>
      <c r="AK11" s="114">
        <f t="shared" ref="AK11:AK27" si="3">AI11*AJ11</f>
        <v>0</v>
      </c>
      <c r="AL11" s="115" t="str">
        <f t="shared" ref="AL11:AL27" si="4">IF(AK11&lt;=4,"BAJO",IF(AK11&lt;=8,"MEDIO",IF(AK11&lt;=20,"ALTO",IF(AK11&lt;=40,"MUYALTO"))))</f>
        <v>BAJO</v>
      </c>
      <c r="AM11" s="155">
        <v>10</v>
      </c>
      <c r="AN11" s="116">
        <f>AM11*AK11</f>
        <v>0</v>
      </c>
      <c r="AO11" s="117" t="str">
        <f t="shared" ref="AO11:AO27" si="5">IF(AN11&lt;=20,"IV",IF(AN11&lt;=120,"III",IF(AN11&lt;=500,"II",IF(AN11&gt;=600,"I"))))</f>
        <v>IV</v>
      </c>
      <c r="AP11" s="118" t="str">
        <f>LOOKUP(AO11,{"I","II","III","IV"},{"NO ACEPTABLE","NO ACEPTABLE  O ACEPTABLE CON CONTROL ESPECÍFICO","ACEPTABLE","CONFORME"})</f>
        <v>CONFORME</v>
      </c>
      <c r="AQ11" s="119">
        <f t="shared" ref="AQ11:AQ27" si="6">S11</f>
        <v>0</v>
      </c>
      <c r="AR11" s="122" t="e">
        <f t="shared" ref="AR11:AR27" si="7">((AQ11-AN11)/AQ11)*100</f>
        <v>#DIV/0!</v>
      </c>
    </row>
    <row r="12" spans="1:246" ht="111.6" customHeight="1">
      <c r="A12" s="193"/>
      <c r="B12" s="195"/>
      <c r="C12" s="169"/>
      <c r="D12" s="264"/>
      <c r="E12" s="151"/>
      <c r="F12" s="151" t="s">
        <v>44</v>
      </c>
      <c r="G12" s="162" t="s">
        <v>49</v>
      </c>
      <c r="H12" s="123" t="s">
        <v>533</v>
      </c>
      <c r="I12" s="144" t="s">
        <v>534</v>
      </c>
      <c r="J12" s="167" t="s">
        <v>535</v>
      </c>
      <c r="K12" s="148" t="s">
        <v>536</v>
      </c>
      <c r="L12" s="117" t="s">
        <v>45</v>
      </c>
      <c r="M12" s="121" t="s">
        <v>537</v>
      </c>
      <c r="N12" s="148">
        <v>2</v>
      </c>
      <c r="O12" s="148">
        <v>1</v>
      </c>
      <c r="P12" s="114">
        <f t="shared" ref="P12" si="8">N12*O12</f>
        <v>2</v>
      </c>
      <c r="Q12" s="115" t="str">
        <f t="shared" si="1"/>
        <v>BAJO</v>
      </c>
      <c r="R12" s="155">
        <v>10</v>
      </c>
      <c r="S12" s="116">
        <f t="shared" ref="S12" si="9">R12*P12</f>
        <v>20</v>
      </c>
      <c r="T12" s="117" t="str">
        <f t="shared" si="2"/>
        <v>IV</v>
      </c>
      <c r="U12" s="118" t="str">
        <f>LOOKUP(T12,{"I","II","III","IV"},{"NO ACEPTABLE","NO ACEPTABLE  O ACEPTABLE CON CONTROL ESPECÍFICO","ACEPTABLE","CONFORME"})</f>
        <v>CONFORME</v>
      </c>
      <c r="V12" s="114">
        <v>4</v>
      </c>
      <c r="W12" s="114">
        <v>0</v>
      </c>
      <c r="X12" s="114">
        <v>0</v>
      </c>
      <c r="Y12" s="114">
        <v>0</v>
      </c>
      <c r="Z12" s="119">
        <f t="shared" si="0"/>
        <v>4</v>
      </c>
      <c r="AA12" s="119">
        <v>1</v>
      </c>
      <c r="AB12" s="155" t="s">
        <v>538</v>
      </c>
      <c r="AC12" s="155" t="s">
        <v>46</v>
      </c>
      <c r="AD12" s="114" t="s">
        <v>47</v>
      </c>
      <c r="AE12" s="114" t="s">
        <v>47</v>
      </c>
      <c r="AF12" s="120" t="s">
        <v>47</v>
      </c>
      <c r="AG12" s="121" t="s">
        <v>539</v>
      </c>
      <c r="AH12" s="155" t="s">
        <v>47</v>
      </c>
      <c r="AI12" s="148">
        <v>2</v>
      </c>
      <c r="AJ12" s="148">
        <v>1</v>
      </c>
      <c r="AK12" s="114">
        <f t="shared" si="3"/>
        <v>2</v>
      </c>
      <c r="AL12" s="115" t="str">
        <f t="shared" si="4"/>
        <v>BAJO</v>
      </c>
      <c r="AM12" s="155">
        <v>10</v>
      </c>
      <c r="AN12" s="116">
        <f t="shared" ref="AN12" si="10">AM12*AK12</f>
        <v>20</v>
      </c>
      <c r="AO12" s="117" t="str">
        <f t="shared" si="5"/>
        <v>IV</v>
      </c>
      <c r="AP12" s="118" t="str">
        <f>LOOKUP(AO12,{"I","II","III","IV"},{"NO ACEPTABLE","NO ACEPTABLE  O ACEPTABLE CON CONTROL ESPECÍFICO","ACEPTABLE","CONFORME"})</f>
        <v>CONFORME</v>
      </c>
      <c r="AQ12" s="119">
        <f t="shared" si="6"/>
        <v>20</v>
      </c>
      <c r="AR12" s="122">
        <f t="shared" si="7"/>
        <v>0</v>
      </c>
    </row>
    <row r="13" spans="1:246" ht="111.6" customHeight="1">
      <c r="A13" s="193"/>
      <c r="B13" s="195"/>
      <c r="C13" s="169"/>
      <c r="D13" s="264"/>
      <c r="E13" s="151" t="s">
        <v>44</v>
      </c>
      <c r="F13" s="151"/>
      <c r="G13" s="162" t="s">
        <v>49</v>
      </c>
      <c r="H13" s="123" t="s">
        <v>50</v>
      </c>
      <c r="I13" s="129" t="s">
        <v>540</v>
      </c>
      <c r="J13" s="129" t="s">
        <v>51</v>
      </c>
      <c r="K13" s="117" t="s">
        <v>507</v>
      </c>
      <c r="L13" s="117" t="s">
        <v>65</v>
      </c>
      <c r="M13" s="114" t="s">
        <v>588</v>
      </c>
      <c r="N13" s="148">
        <v>2</v>
      </c>
      <c r="O13" s="148">
        <v>2</v>
      </c>
      <c r="P13" s="114">
        <f t="shared" ref="P13" si="11">N13*O13</f>
        <v>4</v>
      </c>
      <c r="Q13" s="115" t="str">
        <f t="shared" si="1"/>
        <v>BAJO</v>
      </c>
      <c r="R13" s="155">
        <v>10</v>
      </c>
      <c r="S13" s="116">
        <f t="shared" ref="S13" si="12">R13*P13</f>
        <v>40</v>
      </c>
      <c r="T13" s="117" t="str">
        <f t="shared" si="2"/>
        <v>III</v>
      </c>
      <c r="U13" s="118" t="str">
        <f>LOOKUP(T13,{"I","II","III","IV"},{"NO ACEPTABLE","NO ACEPTABLE  O ACEPTABLE CON CONTROL ESPECÍFICO","ACEPTABLE","CONFORME"})</f>
        <v>ACEPTABLE</v>
      </c>
      <c r="V13" s="114">
        <v>4</v>
      </c>
      <c r="W13" s="114">
        <v>0</v>
      </c>
      <c r="X13" s="114">
        <v>0</v>
      </c>
      <c r="Y13" s="114">
        <v>0</v>
      </c>
      <c r="Z13" s="119">
        <f>SUM(V13:Y13)</f>
        <v>4</v>
      </c>
      <c r="AA13" s="119">
        <v>5</v>
      </c>
      <c r="AB13" s="155" t="s">
        <v>51</v>
      </c>
      <c r="AC13" s="155" t="s">
        <v>48</v>
      </c>
      <c r="AD13" s="114" t="s">
        <v>47</v>
      </c>
      <c r="AE13" s="114" t="s">
        <v>47</v>
      </c>
      <c r="AF13" s="120" t="s">
        <v>47</v>
      </c>
      <c r="AG13" s="121" t="s">
        <v>541</v>
      </c>
      <c r="AH13" s="114" t="s">
        <v>47</v>
      </c>
      <c r="AI13" s="148">
        <v>2</v>
      </c>
      <c r="AJ13" s="148">
        <v>2</v>
      </c>
      <c r="AK13" s="114">
        <f t="shared" si="3"/>
        <v>4</v>
      </c>
      <c r="AL13" s="115" t="str">
        <f>IF(AK13&lt;=4,"BAJO",IF(AK13&lt;=8,"MEDIO",IF(AK13&lt;=20,"ALTO",IF(AK13&lt;=40,"MUYALTO"))))</f>
        <v>BAJO</v>
      </c>
      <c r="AM13" s="155">
        <v>10</v>
      </c>
      <c r="AN13" s="116">
        <f t="shared" ref="AN13" si="13">AK13*AM13</f>
        <v>40</v>
      </c>
      <c r="AO13" s="117" t="str">
        <f t="shared" si="5"/>
        <v>III</v>
      </c>
      <c r="AP13" s="118" t="str">
        <f>LOOKUP(AO13,{"I","II","III","IV"},{"NO ACEPTABLE","NO ACEPTABLE  O ACEPTABLE CON CONTROL ESPECÍFICO","ACEPTABLE","CONFORME"})</f>
        <v>ACEPTABLE</v>
      </c>
      <c r="AQ13" s="119">
        <f t="shared" si="6"/>
        <v>40</v>
      </c>
      <c r="AR13" s="122">
        <f t="shared" si="7"/>
        <v>0</v>
      </c>
    </row>
    <row r="14" spans="1:246" ht="99" customHeight="1">
      <c r="A14" s="193"/>
      <c r="B14" s="195"/>
      <c r="C14" s="169"/>
      <c r="D14" s="264"/>
      <c r="E14" s="151" t="s">
        <v>44</v>
      </c>
      <c r="F14" s="151"/>
      <c r="G14" s="162" t="s">
        <v>53</v>
      </c>
      <c r="H14" s="140" t="s">
        <v>54</v>
      </c>
      <c r="I14" s="141" t="s">
        <v>589</v>
      </c>
      <c r="J14" s="132" t="s">
        <v>51</v>
      </c>
      <c r="K14" s="117" t="s">
        <v>507</v>
      </c>
      <c r="L14" s="114" t="s">
        <v>65</v>
      </c>
      <c r="M14" s="114" t="s">
        <v>590</v>
      </c>
      <c r="N14" s="148">
        <v>2</v>
      </c>
      <c r="O14" s="148">
        <v>1</v>
      </c>
      <c r="P14" s="114">
        <f>N14*O14</f>
        <v>2</v>
      </c>
      <c r="Q14" s="115" t="str">
        <f t="shared" ref="Q14" si="14">IF(P14&lt;=4,"BAJO",IF(P14&lt;=8,"MEDIO",IF(P14&lt;=20,"ALTO",IF(P14&lt;=40,"MUYALTO"))))</f>
        <v>BAJO</v>
      </c>
      <c r="R14" s="155">
        <v>10</v>
      </c>
      <c r="S14" s="116">
        <f t="shared" ref="S14" si="15">R14*P14</f>
        <v>20</v>
      </c>
      <c r="T14" s="117" t="str">
        <f t="shared" ref="T14" si="16">IF(S14&lt;=20,"IV",IF(S14&lt;=120,"III",IF(S14&lt;=500,"II",IF(S14&gt;=600,"I"))))</f>
        <v>IV</v>
      </c>
      <c r="U14" s="118" t="str">
        <f>LOOKUP(T14,{"I","II","III","IV"},{"NO ACEPTABLE","NO ACEPTABLE  O ACEPTABLE CON CONTROL ESPECÍFICO","ACEPTABLE","CONFORME"})</f>
        <v>CONFORME</v>
      </c>
      <c r="V14" s="114">
        <v>4</v>
      </c>
      <c r="W14" s="114">
        <v>0</v>
      </c>
      <c r="X14" s="114">
        <v>0</v>
      </c>
      <c r="Y14" s="114">
        <v>0</v>
      </c>
      <c r="Z14" s="119">
        <f t="shared" ref="Z14" si="17">SUM(V14+W14+X14+Y14)</f>
        <v>4</v>
      </c>
      <c r="AA14" s="119">
        <v>6</v>
      </c>
      <c r="AB14" s="155" t="s">
        <v>51</v>
      </c>
      <c r="AC14" s="155" t="s">
        <v>48</v>
      </c>
      <c r="AD14" s="114" t="s">
        <v>47</v>
      </c>
      <c r="AE14" s="114" t="s">
        <v>47</v>
      </c>
      <c r="AF14" s="137" t="s">
        <v>47</v>
      </c>
      <c r="AG14" s="121" t="s">
        <v>541</v>
      </c>
      <c r="AH14" s="143" t="s">
        <v>47</v>
      </c>
      <c r="AI14" s="148">
        <v>2</v>
      </c>
      <c r="AJ14" s="148">
        <v>2</v>
      </c>
      <c r="AK14" s="114">
        <f t="shared" ref="AK14" si="18">AI14*AJ14</f>
        <v>4</v>
      </c>
      <c r="AL14" s="115" t="str">
        <f t="shared" ref="AL14" si="19">IF(AK14&lt;=4,"BAJO",IF(AK14&lt;=8,"MEDIO",IF(AK14&lt;=20,"ALTO",IF(AK14&lt;=40,"MUYALTO"))))</f>
        <v>BAJO</v>
      </c>
      <c r="AM14" s="155">
        <v>10</v>
      </c>
      <c r="AN14" s="116">
        <f t="shared" ref="AN14" si="20">AM14*AK14</f>
        <v>40</v>
      </c>
      <c r="AO14" s="117" t="str">
        <f t="shared" ref="AO14" si="21">IF(AN14&lt;=20,"IV",IF(AN14&lt;=120,"III",IF(AN14&lt;=500,"II",IF(AN14&gt;=600,"I"))))</f>
        <v>III</v>
      </c>
      <c r="AP14" s="118" t="str">
        <f>LOOKUP(AO14,{"I","II","III","IV"},{"NO ACEPTABLE","NO ACEPTABLE  O ACEPTABLE CON CONTROL ESPECÍFICO","ACEPTABLE","CONFORME"})</f>
        <v>ACEPTABLE</v>
      </c>
      <c r="AQ14" s="119">
        <f t="shared" ref="AQ14" si="22">S14</f>
        <v>20</v>
      </c>
      <c r="AR14" s="122">
        <f t="shared" ref="AR14" si="23">((AQ14-AN14)/AQ14)*100</f>
        <v>-100</v>
      </c>
    </row>
    <row r="15" spans="1:246" ht="66.599999999999994" customHeight="1">
      <c r="A15" s="193"/>
      <c r="B15" s="195"/>
      <c r="C15" s="169"/>
      <c r="D15" s="264"/>
      <c r="E15" s="151" t="s">
        <v>44</v>
      </c>
      <c r="F15" s="151"/>
      <c r="G15" s="162" t="s">
        <v>53</v>
      </c>
      <c r="H15" s="140" t="s">
        <v>542</v>
      </c>
      <c r="I15" s="141" t="s">
        <v>604</v>
      </c>
      <c r="J15" s="132" t="s">
        <v>543</v>
      </c>
      <c r="K15" s="117" t="s">
        <v>65</v>
      </c>
      <c r="L15" s="114" t="s">
        <v>65</v>
      </c>
      <c r="M15" s="114" t="s">
        <v>590</v>
      </c>
      <c r="N15" s="148">
        <v>2</v>
      </c>
      <c r="O15" s="148">
        <v>2</v>
      </c>
      <c r="P15" s="114">
        <f>N15*O15</f>
        <v>4</v>
      </c>
      <c r="Q15" s="115" t="str">
        <f t="shared" ref="Q15" si="24">IF(P15&lt;=4,"BAJO",IF(P15&lt;=8,"MEDIO",IF(P15&lt;=20,"ALTO",IF(P15&lt;=40,"MUYALTO"))))</f>
        <v>BAJO</v>
      </c>
      <c r="R15" s="155">
        <v>10</v>
      </c>
      <c r="S15" s="116">
        <f t="shared" ref="S15" si="25">R15*P15</f>
        <v>40</v>
      </c>
      <c r="T15" s="117" t="str">
        <f t="shared" ref="T15" si="26">IF(S15&lt;=20,"IV",IF(S15&lt;=120,"III",IF(S15&lt;=500,"II",IF(S15&gt;=600,"I"))))</f>
        <v>III</v>
      </c>
      <c r="U15" s="118" t="str">
        <f>LOOKUP(T15,{"I","II","III","IV"},{"NO ACEPTABLE","NO ACEPTABLE  O ACEPTABLE CON CONTROL ESPECÍFICO","ACEPTABLE","CONFORME"})</f>
        <v>ACEPTABLE</v>
      </c>
      <c r="V15" s="114">
        <v>4</v>
      </c>
      <c r="W15" s="114">
        <v>0</v>
      </c>
      <c r="X15" s="114">
        <v>0</v>
      </c>
      <c r="Y15" s="114">
        <v>0</v>
      </c>
      <c r="Z15" s="119">
        <f t="shared" ref="Z15" si="27">SUM(V15+W15+X15+Y15)</f>
        <v>4</v>
      </c>
      <c r="AA15" s="119">
        <v>6</v>
      </c>
      <c r="AB15" s="155" t="s">
        <v>591</v>
      </c>
      <c r="AC15" s="155" t="s">
        <v>48</v>
      </c>
      <c r="AD15" s="114" t="s">
        <v>47</v>
      </c>
      <c r="AE15" s="114" t="s">
        <v>47</v>
      </c>
      <c r="AF15" s="137" t="s">
        <v>47</v>
      </c>
      <c r="AG15" s="121" t="s">
        <v>544</v>
      </c>
      <c r="AH15" s="143" t="s">
        <v>47</v>
      </c>
      <c r="AI15" s="148">
        <v>2</v>
      </c>
      <c r="AJ15" s="148">
        <v>2</v>
      </c>
      <c r="AK15" s="114">
        <f t="shared" ref="AK15" si="28">AI15*AJ15</f>
        <v>4</v>
      </c>
      <c r="AL15" s="115" t="str">
        <f t="shared" ref="AL15" si="29">IF(AK15&lt;=4,"BAJO",IF(AK15&lt;=8,"MEDIO",IF(AK15&lt;=20,"ALTO",IF(AK15&lt;=40,"MUYALTO"))))</f>
        <v>BAJO</v>
      </c>
      <c r="AM15" s="155">
        <v>10</v>
      </c>
      <c r="AN15" s="116">
        <f t="shared" ref="AN15" si="30">AM15*AK15</f>
        <v>40</v>
      </c>
      <c r="AO15" s="117" t="str">
        <f t="shared" ref="AO15" si="31">IF(AN15&lt;=20,"IV",IF(AN15&lt;=120,"III",IF(AN15&lt;=500,"II",IF(AN15&gt;=600,"I"))))</f>
        <v>III</v>
      </c>
      <c r="AP15" s="118" t="str">
        <f>LOOKUP(AO15,{"I","II","III","IV"},{"NO ACEPTABLE","NO ACEPTABLE  O ACEPTABLE CON CONTROL ESPECÍFICO","ACEPTABLE","CONFORME"})</f>
        <v>ACEPTABLE</v>
      </c>
      <c r="AQ15" s="119">
        <f t="shared" ref="AQ15" si="32">S15</f>
        <v>40</v>
      </c>
      <c r="AR15" s="122">
        <f t="shared" ref="AR15" si="33">((AQ15-AN15)/AQ15)*100</f>
        <v>0</v>
      </c>
    </row>
    <row r="16" spans="1:246" ht="82.8" customHeight="1">
      <c r="A16" s="193"/>
      <c r="B16" s="195"/>
      <c r="C16" s="169"/>
      <c r="D16" s="264"/>
      <c r="E16" s="151" t="s">
        <v>44</v>
      </c>
      <c r="F16" s="151"/>
      <c r="G16" s="164" t="s">
        <v>66</v>
      </c>
      <c r="H16" s="140" t="s">
        <v>545</v>
      </c>
      <c r="I16" s="141" t="s">
        <v>546</v>
      </c>
      <c r="J16" s="132" t="s">
        <v>67</v>
      </c>
      <c r="K16" s="134" t="s">
        <v>64</v>
      </c>
      <c r="L16" s="135" t="s">
        <v>45</v>
      </c>
      <c r="M16" s="130" t="s">
        <v>525</v>
      </c>
      <c r="N16" s="148">
        <v>2</v>
      </c>
      <c r="O16" s="148">
        <v>2</v>
      </c>
      <c r="P16" s="114">
        <f t="shared" ref="P16:P27" si="34">N16*O16</f>
        <v>4</v>
      </c>
      <c r="Q16" s="115" t="str">
        <f t="shared" si="1"/>
        <v>BAJO</v>
      </c>
      <c r="R16" s="155">
        <v>10</v>
      </c>
      <c r="S16" s="116">
        <f t="shared" ref="S16:S27" si="35">R16*P16</f>
        <v>40</v>
      </c>
      <c r="T16" s="117" t="str">
        <f t="shared" si="2"/>
        <v>III</v>
      </c>
      <c r="U16" s="118" t="str">
        <f>LOOKUP(T16,{"I","II","III","IV"},{"NO ACEPTABLE","NO ACEPTABLE  O ACEPTABLE CON CONTROL ESPECÍFICO","ACEPTABLE","CONFORME"})</f>
        <v>ACEPTABLE</v>
      </c>
      <c r="V16" s="114">
        <v>4</v>
      </c>
      <c r="W16" s="114">
        <v>0</v>
      </c>
      <c r="X16" s="114">
        <v>0</v>
      </c>
      <c r="Y16" s="114">
        <v>0</v>
      </c>
      <c r="Z16" s="119">
        <f t="shared" si="0"/>
        <v>4</v>
      </c>
      <c r="AA16" s="119">
        <v>8</v>
      </c>
      <c r="AB16" s="155" t="s">
        <v>68</v>
      </c>
      <c r="AC16" s="155" t="s">
        <v>48</v>
      </c>
      <c r="AD16" s="114" t="s">
        <v>47</v>
      </c>
      <c r="AE16" s="114" t="s">
        <v>47</v>
      </c>
      <c r="AF16" s="120" t="s">
        <v>47</v>
      </c>
      <c r="AG16" s="155" t="s">
        <v>517</v>
      </c>
      <c r="AH16" s="143" t="s">
        <v>47</v>
      </c>
      <c r="AI16" s="148">
        <v>2</v>
      </c>
      <c r="AJ16" s="148">
        <v>2</v>
      </c>
      <c r="AK16" s="114">
        <f t="shared" si="3"/>
        <v>4</v>
      </c>
      <c r="AL16" s="115" t="str">
        <f t="shared" si="4"/>
        <v>BAJO</v>
      </c>
      <c r="AM16" s="155">
        <v>10</v>
      </c>
      <c r="AN16" s="116">
        <f t="shared" ref="AN16:AN27" si="36">AM16*AK16</f>
        <v>40</v>
      </c>
      <c r="AO16" s="117" t="str">
        <f t="shared" si="5"/>
        <v>III</v>
      </c>
      <c r="AP16" s="118" t="str">
        <f>LOOKUP(AO16,{"I","II","III","IV"},{"NO ACEPTABLE","NO ACEPTABLE  O ACEPTABLE CON CONTROL ESPECÍFICO","ACEPTABLE","CONFORME"})</f>
        <v>ACEPTABLE</v>
      </c>
      <c r="AQ16" s="119">
        <f t="shared" si="6"/>
        <v>40</v>
      </c>
      <c r="AR16" s="122">
        <f t="shared" si="7"/>
        <v>0</v>
      </c>
    </row>
    <row r="17" spans="1:44" ht="80.400000000000006" customHeight="1">
      <c r="A17" s="193"/>
      <c r="B17" s="195"/>
      <c r="C17" s="169"/>
      <c r="D17" s="264"/>
      <c r="E17" s="151" t="s">
        <v>44</v>
      </c>
      <c r="F17" s="151"/>
      <c r="G17" s="164" t="s">
        <v>85</v>
      </c>
      <c r="H17" s="140" t="s">
        <v>86</v>
      </c>
      <c r="I17" s="141" t="s">
        <v>592</v>
      </c>
      <c r="J17" s="132" t="s">
        <v>69</v>
      </c>
      <c r="K17" s="135" t="s">
        <v>45</v>
      </c>
      <c r="L17" s="135" t="s">
        <v>45</v>
      </c>
      <c r="M17" s="130" t="s">
        <v>547</v>
      </c>
      <c r="N17" s="148">
        <v>2</v>
      </c>
      <c r="O17" s="148">
        <v>3</v>
      </c>
      <c r="P17" s="114">
        <f t="shared" si="34"/>
        <v>6</v>
      </c>
      <c r="Q17" s="115" t="str">
        <f t="shared" si="1"/>
        <v>MEDIO</v>
      </c>
      <c r="R17" s="155">
        <v>10</v>
      </c>
      <c r="S17" s="116">
        <f t="shared" si="35"/>
        <v>60</v>
      </c>
      <c r="T17" s="117" t="str">
        <f t="shared" si="2"/>
        <v>III</v>
      </c>
      <c r="U17" s="118" t="str">
        <f>LOOKUP(T17,{"I","II","III","IV"},{"NO ACEPTABLE","NO ACEPTABLE  O ACEPTABLE CON CONTROL ESPECÍFICO","ACEPTABLE","CONFORME"})</f>
        <v>ACEPTABLE</v>
      </c>
      <c r="V17" s="114">
        <v>4</v>
      </c>
      <c r="W17" s="114">
        <v>0</v>
      </c>
      <c r="X17" s="114">
        <v>0</v>
      </c>
      <c r="Y17" s="114">
        <v>0</v>
      </c>
      <c r="Z17" s="119">
        <f t="shared" si="0"/>
        <v>4</v>
      </c>
      <c r="AA17" s="119">
        <v>6</v>
      </c>
      <c r="AB17" s="155" t="s">
        <v>70</v>
      </c>
      <c r="AC17" s="155" t="s">
        <v>48</v>
      </c>
      <c r="AD17" s="114" t="s">
        <v>47</v>
      </c>
      <c r="AE17" s="114" t="s">
        <v>47</v>
      </c>
      <c r="AF17" s="120" t="s">
        <v>47</v>
      </c>
      <c r="AG17" s="121" t="s">
        <v>593</v>
      </c>
      <c r="AH17" s="143" t="s">
        <v>47</v>
      </c>
      <c r="AI17" s="148">
        <v>2</v>
      </c>
      <c r="AJ17" s="148">
        <v>2</v>
      </c>
      <c r="AK17" s="114">
        <f t="shared" si="3"/>
        <v>4</v>
      </c>
      <c r="AL17" s="115" t="str">
        <f t="shared" si="4"/>
        <v>BAJO</v>
      </c>
      <c r="AM17" s="155">
        <v>10</v>
      </c>
      <c r="AN17" s="116">
        <f t="shared" si="36"/>
        <v>40</v>
      </c>
      <c r="AO17" s="117" t="str">
        <f t="shared" si="5"/>
        <v>III</v>
      </c>
      <c r="AP17" s="118" t="str">
        <f>LOOKUP(AO17,{"I","II","III","IV"},{"NO ACEPTABLE","NO ACEPTABLE  O ACEPTABLE CON CONTROL ESPECÍFICO","ACEPTABLE","CONFORME"})</f>
        <v>ACEPTABLE</v>
      </c>
      <c r="AQ17" s="119">
        <f t="shared" si="6"/>
        <v>60</v>
      </c>
      <c r="AR17" s="122">
        <f t="shared" si="7"/>
        <v>33.333333333333329</v>
      </c>
    </row>
    <row r="18" spans="1:44" ht="66" customHeight="1">
      <c r="A18" s="193"/>
      <c r="B18" s="195"/>
      <c r="C18" s="169"/>
      <c r="D18" s="264"/>
      <c r="E18" s="151" t="s">
        <v>44</v>
      </c>
      <c r="F18" s="151"/>
      <c r="G18" s="162" t="s">
        <v>85</v>
      </c>
      <c r="H18" s="140" t="s">
        <v>524</v>
      </c>
      <c r="I18" s="141" t="s">
        <v>548</v>
      </c>
      <c r="J18" s="132" t="s">
        <v>549</v>
      </c>
      <c r="K18" s="135" t="s">
        <v>550</v>
      </c>
      <c r="L18" s="135" t="s">
        <v>551</v>
      </c>
      <c r="M18" s="130" t="s">
        <v>547</v>
      </c>
      <c r="N18" s="148">
        <v>6</v>
      </c>
      <c r="O18" s="148">
        <v>2</v>
      </c>
      <c r="P18" s="114">
        <f t="shared" ref="P18" si="37">N18*O18</f>
        <v>12</v>
      </c>
      <c r="Q18" s="115" t="str">
        <f t="shared" ref="Q18" si="38">IF(P18&lt;=4,"BAJO",IF(P18&lt;=8,"MEDIO",IF(P18&lt;=20,"ALTO",IF(P18&lt;=40,"MUYALTO"))))</f>
        <v>ALTO</v>
      </c>
      <c r="R18" s="155">
        <v>10</v>
      </c>
      <c r="S18" s="116">
        <f t="shared" ref="S18" si="39">R18*P18</f>
        <v>120</v>
      </c>
      <c r="T18" s="117" t="str">
        <f t="shared" ref="T18" si="40">IF(S18&lt;=20,"IV",IF(S18&lt;=120,"III",IF(S18&lt;=500,"II",IF(S18&gt;=600,"I"))))</f>
        <v>III</v>
      </c>
      <c r="U18" s="118" t="str">
        <f>LOOKUP(T18,{"I","II","III","IV"},{"NO ACEPTABLE","NO ACEPTABLE  O ACEPTABLE CON CONTROL ESPECÍFICO","ACEPTABLE","CONFORME"})</f>
        <v>ACEPTABLE</v>
      </c>
      <c r="V18" s="114">
        <v>4</v>
      </c>
      <c r="W18" s="114">
        <v>0</v>
      </c>
      <c r="X18" s="114">
        <v>0</v>
      </c>
      <c r="Y18" s="114">
        <v>0</v>
      </c>
      <c r="Z18" s="119">
        <f t="shared" ref="Z18" si="41">SUM(V18+W18+X18+Y18)</f>
        <v>4</v>
      </c>
      <c r="AA18" s="119">
        <v>1</v>
      </c>
      <c r="AB18" s="155" t="s">
        <v>70</v>
      </c>
      <c r="AC18" s="155" t="s">
        <v>48</v>
      </c>
      <c r="AD18" s="120" t="s">
        <v>47</v>
      </c>
      <c r="AE18" s="120" t="s">
        <v>47</v>
      </c>
      <c r="AF18" s="120" t="s">
        <v>47</v>
      </c>
      <c r="AG18" s="121" t="s">
        <v>594</v>
      </c>
      <c r="AH18" s="120" t="s">
        <v>552</v>
      </c>
      <c r="AI18" s="148">
        <v>2</v>
      </c>
      <c r="AJ18" s="148">
        <v>3</v>
      </c>
      <c r="AK18" s="114">
        <f t="shared" ref="AK18" si="42">AI18*AJ18</f>
        <v>6</v>
      </c>
      <c r="AL18" s="115" t="str">
        <f t="shared" ref="AL18" si="43">IF(AK18&lt;=4,"BAJO",IF(AK18&lt;=8,"MEDIO",IF(AK18&lt;=20,"ALTO",IF(AK18&lt;=40,"MUYALTO"))))</f>
        <v>MEDIO</v>
      </c>
      <c r="AM18" s="155">
        <v>10</v>
      </c>
      <c r="AN18" s="116">
        <f t="shared" ref="AN18" si="44">AM18*AK18</f>
        <v>60</v>
      </c>
      <c r="AO18" s="117" t="str">
        <f t="shared" ref="AO18" si="45">IF(AN18&lt;=20,"IV",IF(AN18&lt;=120,"III",IF(AN18&lt;=500,"II",IF(AN18&gt;=600,"I"))))</f>
        <v>III</v>
      </c>
      <c r="AP18" s="118" t="str">
        <f>LOOKUP(AO18,{"I","II","III","IV"},{"NO ACEPTABLE","NO ACEPTABLE  O ACEPTABLE CON CONTROL ESPECÍFICO","ACEPTABLE","CONFORME"})</f>
        <v>ACEPTABLE</v>
      </c>
      <c r="AQ18" s="119">
        <f t="shared" ref="AQ18" si="46">S18</f>
        <v>120</v>
      </c>
      <c r="AR18" s="122">
        <f t="shared" ref="AR18" si="47">((AQ18-AN18)/AQ18)*100</f>
        <v>50</v>
      </c>
    </row>
    <row r="19" spans="1:44" ht="89.1" customHeight="1">
      <c r="A19" s="193"/>
      <c r="B19" s="195"/>
      <c r="C19" s="169"/>
      <c r="D19" s="264"/>
      <c r="E19" s="151" t="s">
        <v>44</v>
      </c>
      <c r="F19" s="149"/>
      <c r="G19" s="162" t="s">
        <v>52</v>
      </c>
      <c r="H19" s="140" t="s">
        <v>55</v>
      </c>
      <c r="I19" s="141" t="s">
        <v>595</v>
      </c>
      <c r="J19" s="141" t="s">
        <v>553</v>
      </c>
      <c r="K19" s="141" t="s">
        <v>564</v>
      </c>
      <c r="L19" s="148" t="s">
        <v>554</v>
      </c>
      <c r="M19" s="130" t="s">
        <v>515</v>
      </c>
      <c r="N19" s="148">
        <v>2</v>
      </c>
      <c r="O19" s="148">
        <v>3</v>
      </c>
      <c r="P19" s="114">
        <f t="shared" si="34"/>
        <v>6</v>
      </c>
      <c r="Q19" s="115" t="str">
        <f t="shared" si="1"/>
        <v>MEDIO</v>
      </c>
      <c r="R19" s="155">
        <v>10</v>
      </c>
      <c r="S19" s="116">
        <f t="shared" si="35"/>
        <v>60</v>
      </c>
      <c r="T19" s="117" t="str">
        <f t="shared" si="2"/>
        <v>III</v>
      </c>
      <c r="U19" s="118" t="str">
        <f>LOOKUP(T19,{"I","II","III","IV"},{"NO ACEPTABLE","NO ACEPTABLE  O ACEPTABLE CON CONTROL ESPECÍFICO","ACEPTABLE","CONFORME"})</f>
        <v>ACEPTABLE</v>
      </c>
      <c r="V19" s="114">
        <v>4</v>
      </c>
      <c r="W19" s="114">
        <v>0</v>
      </c>
      <c r="X19" s="114">
        <v>0</v>
      </c>
      <c r="Y19" s="114">
        <v>0</v>
      </c>
      <c r="Z19" s="119">
        <f t="shared" si="0"/>
        <v>4</v>
      </c>
      <c r="AA19" s="119">
        <v>1</v>
      </c>
      <c r="AB19" s="155" t="s">
        <v>555</v>
      </c>
      <c r="AC19" s="155" t="s">
        <v>46</v>
      </c>
      <c r="AD19" s="114" t="s">
        <v>47</v>
      </c>
      <c r="AE19" s="114" t="s">
        <v>47</v>
      </c>
      <c r="AF19" s="120" t="s">
        <v>47</v>
      </c>
      <c r="AG19" s="121" t="s">
        <v>596</v>
      </c>
      <c r="AH19" s="120" t="s">
        <v>552</v>
      </c>
      <c r="AI19" s="148">
        <v>2</v>
      </c>
      <c r="AJ19" s="148">
        <v>2</v>
      </c>
      <c r="AK19" s="114">
        <f t="shared" si="3"/>
        <v>4</v>
      </c>
      <c r="AL19" s="115" t="str">
        <f t="shared" si="4"/>
        <v>BAJO</v>
      </c>
      <c r="AM19" s="155">
        <v>10</v>
      </c>
      <c r="AN19" s="116">
        <f t="shared" si="36"/>
        <v>40</v>
      </c>
      <c r="AO19" s="117" t="str">
        <f t="shared" si="5"/>
        <v>III</v>
      </c>
      <c r="AP19" s="118" t="str">
        <f>LOOKUP(AO19,{"I","II","III","IV"},{"NO ACEPTABLE","NO ACEPTABLE  O ACEPTABLE CON CONTROL ESPECÍFICO","ACEPTABLE","CONFORME"})</f>
        <v>ACEPTABLE</v>
      </c>
      <c r="AQ19" s="119">
        <f t="shared" si="6"/>
        <v>60</v>
      </c>
      <c r="AR19" s="122">
        <f t="shared" si="7"/>
        <v>33.333333333333329</v>
      </c>
    </row>
    <row r="20" spans="1:44" ht="101.1" customHeight="1">
      <c r="A20" s="193"/>
      <c r="B20" s="195"/>
      <c r="C20" s="169"/>
      <c r="D20" s="264"/>
      <c r="E20" s="151" t="s">
        <v>44</v>
      </c>
      <c r="F20" s="149"/>
      <c r="G20" s="163" t="s">
        <v>52</v>
      </c>
      <c r="H20" s="140" t="s">
        <v>87</v>
      </c>
      <c r="I20" s="141" t="s">
        <v>556</v>
      </c>
      <c r="J20" s="145" t="s">
        <v>71</v>
      </c>
      <c r="K20" s="145" t="s">
        <v>526</v>
      </c>
      <c r="L20" s="114" t="s">
        <v>597</v>
      </c>
      <c r="M20" s="130" t="s">
        <v>516</v>
      </c>
      <c r="N20" s="148">
        <v>2</v>
      </c>
      <c r="O20" s="148">
        <v>3</v>
      </c>
      <c r="P20" s="114">
        <f t="shared" si="34"/>
        <v>6</v>
      </c>
      <c r="Q20" s="115" t="str">
        <f t="shared" si="1"/>
        <v>MEDIO</v>
      </c>
      <c r="R20" s="155">
        <v>10</v>
      </c>
      <c r="S20" s="116">
        <f t="shared" si="35"/>
        <v>60</v>
      </c>
      <c r="T20" s="117" t="str">
        <f t="shared" si="2"/>
        <v>III</v>
      </c>
      <c r="U20" s="118" t="str">
        <f>LOOKUP(T20,{"I","II","III","IV"},{"NO ACEPTABLE","NO ACEPTABLE  O ACEPTABLE CON CONTROL ESPECÍFICO","ACEPTABLE","CONFORME"})</f>
        <v>ACEPTABLE</v>
      </c>
      <c r="V20" s="114">
        <v>4</v>
      </c>
      <c r="W20" s="114">
        <v>0</v>
      </c>
      <c r="X20" s="114">
        <v>0</v>
      </c>
      <c r="Y20" s="114">
        <v>0</v>
      </c>
      <c r="Z20" s="119">
        <f t="shared" si="0"/>
        <v>4</v>
      </c>
      <c r="AA20" s="119">
        <v>5</v>
      </c>
      <c r="AB20" s="155" t="s">
        <v>72</v>
      </c>
      <c r="AC20" s="155" t="s">
        <v>48</v>
      </c>
      <c r="AD20" s="120" t="s">
        <v>47</v>
      </c>
      <c r="AE20" s="120" t="s">
        <v>47</v>
      </c>
      <c r="AF20" s="120" t="s">
        <v>47</v>
      </c>
      <c r="AG20" s="121" t="s">
        <v>557</v>
      </c>
      <c r="AH20" s="143" t="s">
        <v>47</v>
      </c>
      <c r="AI20" s="148">
        <v>2</v>
      </c>
      <c r="AJ20" s="148">
        <v>2</v>
      </c>
      <c r="AK20" s="114">
        <f t="shared" si="3"/>
        <v>4</v>
      </c>
      <c r="AL20" s="115" t="str">
        <f t="shared" si="4"/>
        <v>BAJO</v>
      </c>
      <c r="AM20" s="155">
        <v>10</v>
      </c>
      <c r="AN20" s="116">
        <f t="shared" si="36"/>
        <v>40</v>
      </c>
      <c r="AO20" s="117" t="str">
        <f t="shared" si="5"/>
        <v>III</v>
      </c>
      <c r="AP20" s="118" t="str">
        <f>LOOKUP(AO20,{"I","II","III","IV"},{"NO ACEPTABLE","NO ACEPTABLE  O ACEPTABLE CON CONTROL ESPECÍFICO","ACEPTABLE","CONFORME"})</f>
        <v>ACEPTABLE</v>
      </c>
      <c r="AQ20" s="119">
        <f t="shared" si="6"/>
        <v>60</v>
      </c>
      <c r="AR20" s="122">
        <f t="shared" si="7"/>
        <v>33.333333333333329</v>
      </c>
    </row>
    <row r="21" spans="1:44" ht="92.4">
      <c r="A21" s="193"/>
      <c r="B21" s="195"/>
      <c r="C21" s="169"/>
      <c r="D21" s="264"/>
      <c r="E21" s="151" t="s">
        <v>44</v>
      </c>
      <c r="F21" s="138"/>
      <c r="G21" s="163" t="s">
        <v>52</v>
      </c>
      <c r="H21" s="140" t="s">
        <v>73</v>
      </c>
      <c r="I21" s="141" t="s">
        <v>598</v>
      </c>
      <c r="J21" s="132" t="s">
        <v>560</v>
      </c>
      <c r="K21" s="132" t="s">
        <v>65</v>
      </c>
      <c r="L21" s="131" t="s">
        <v>599</v>
      </c>
      <c r="M21" s="130" t="s">
        <v>525</v>
      </c>
      <c r="N21" s="148">
        <v>2</v>
      </c>
      <c r="O21" s="148">
        <v>3</v>
      </c>
      <c r="P21" s="114">
        <f t="shared" si="34"/>
        <v>6</v>
      </c>
      <c r="Q21" s="115" t="str">
        <f t="shared" si="1"/>
        <v>MEDIO</v>
      </c>
      <c r="R21" s="155">
        <v>10</v>
      </c>
      <c r="S21" s="116">
        <f t="shared" si="35"/>
        <v>60</v>
      </c>
      <c r="T21" s="117" t="str">
        <f t="shared" si="2"/>
        <v>III</v>
      </c>
      <c r="U21" s="118" t="str">
        <f>LOOKUP(T21,{"I","II","III","IV"},{"NO ACEPTABLE","NO ACEPTABLE  O ACEPTABLE CON CONTROL ESPECÍFICO","ACEPTABLE","CONFORME"})</f>
        <v>ACEPTABLE</v>
      </c>
      <c r="V21" s="114">
        <v>4</v>
      </c>
      <c r="W21" s="114">
        <v>0</v>
      </c>
      <c r="X21" s="114">
        <v>0</v>
      </c>
      <c r="Y21" s="114">
        <v>0</v>
      </c>
      <c r="Z21" s="119">
        <f t="shared" si="0"/>
        <v>4</v>
      </c>
      <c r="AA21" s="119">
        <v>3</v>
      </c>
      <c r="AB21" s="155" t="s">
        <v>561</v>
      </c>
      <c r="AC21" s="155" t="s">
        <v>48</v>
      </c>
      <c r="AD21" s="120" t="s">
        <v>47</v>
      </c>
      <c r="AE21" s="120" t="s">
        <v>47</v>
      </c>
      <c r="AF21" s="120" t="s">
        <v>47</v>
      </c>
      <c r="AG21" s="121" t="s">
        <v>563</v>
      </c>
      <c r="AH21" s="143" t="s">
        <v>562</v>
      </c>
      <c r="AI21" s="148">
        <v>2</v>
      </c>
      <c r="AJ21" s="148">
        <v>2</v>
      </c>
      <c r="AK21" s="114">
        <f t="shared" si="3"/>
        <v>4</v>
      </c>
      <c r="AL21" s="115" t="str">
        <f t="shared" si="4"/>
        <v>BAJO</v>
      </c>
      <c r="AM21" s="155">
        <v>10</v>
      </c>
      <c r="AN21" s="116">
        <f t="shared" si="36"/>
        <v>40</v>
      </c>
      <c r="AO21" s="117" t="str">
        <f t="shared" si="5"/>
        <v>III</v>
      </c>
      <c r="AP21" s="118" t="str">
        <f>LOOKUP(AO21,{"I","II","III","IV"},{"NO ACEPTABLE","NO ACEPTABLE  O ACEPTABLE CON CONTROL ESPECÍFICO","ACEPTABLE","CONFORME"})</f>
        <v>ACEPTABLE</v>
      </c>
      <c r="AQ21" s="119">
        <f t="shared" si="6"/>
        <v>60</v>
      </c>
      <c r="AR21" s="122">
        <f t="shared" si="7"/>
        <v>33.333333333333329</v>
      </c>
    </row>
    <row r="22" spans="1:44" ht="105.6">
      <c r="A22" s="193"/>
      <c r="B22" s="195"/>
      <c r="C22" s="169"/>
      <c r="D22" s="264"/>
      <c r="E22" s="151" t="s">
        <v>44</v>
      </c>
      <c r="F22" s="138"/>
      <c r="G22" s="163" t="s">
        <v>52</v>
      </c>
      <c r="H22" s="140" t="s">
        <v>558</v>
      </c>
      <c r="I22" s="141" t="s">
        <v>600</v>
      </c>
      <c r="J22" s="132" t="s">
        <v>74</v>
      </c>
      <c r="K22" s="132" t="s">
        <v>565</v>
      </c>
      <c r="L22" s="131" t="s">
        <v>65</v>
      </c>
      <c r="M22" s="130" t="s">
        <v>525</v>
      </c>
      <c r="N22" s="148">
        <v>2</v>
      </c>
      <c r="O22" s="148">
        <v>2</v>
      </c>
      <c r="P22" s="114">
        <f t="shared" ref="P22" si="48">N22*O22</f>
        <v>4</v>
      </c>
      <c r="Q22" s="115" t="str">
        <f t="shared" ref="Q22" si="49">IF(P22&lt;=4,"BAJO",IF(P22&lt;=8,"MEDIO",IF(P22&lt;=20,"ALTO",IF(P22&lt;=40,"MUYALTO"))))</f>
        <v>BAJO</v>
      </c>
      <c r="R22" s="155">
        <v>10</v>
      </c>
      <c r="S22" s="116">
        <f t="shared" ref="S22" si="50">R22*P22</f>
        <v>40</v>
      </c>
      <c r="T22" s="117" t="str">
        <f t="shared" ref="T22" si="51">IF(S22&lt;=20,"IV",IF(S22&lt;=120,"III",IF(S22&lt;=500,"II",IF(S22&gt;=600,"I"))))</f>
        <v>III</v>
      </c>
      <c r="U22" s="118" t="str">
        <f>LOOKUP(T22,{"I","II","III","IV"},{"NO ACEPTABLE","NO ACEPTABLE  O ACEPTABLE CON CONTROL ESPECÍFICO","ACEPTABLE","CONFORME"})</f>
        <v>ACEPTABLE</v>
      </c>
      <c r="V22" s="114">
        <v>4</v>
      </c>
      <c r="W22" s="114">
        <v>0</v>
      </c>
      <c r="X22" s="114">
        <v>0</v>
      </c>
      <c r="Y22" s="114">
        <v>0</v>
      </c>
      <c r="Z22" s="119">
        <f t="shared" ref="Z22" si="52">SUM(V22+W22+X22+Y22)</f>
        <v>4</v>
      </c>
      <c r="AA22" s="119">
        <v>1</v>
      </c>
      <c r="AB22" s="155" t="s">
        <v>566</v>
      </c>
      <c r="AC22" s="155" t="s">
        <v>48</v>
      </c>
      <c r="AD22" s="120" t="s">
        <v>47</v>
      </c>
      <c r="AE22" s="120" t="s">
        <v>47</v>
      </c>
      <c r="AF22" s="120" t="s">
        <v>47</v>
      </c>
      <c r="AG22" s="121" t="s">
        <v>567</v>
      </c>
      <c r="AH22" s="143" t="s">
        <v>47</v>
      </c>
      <c r="AI22" s="148">
        <v>2</v>
      </c>
      <c r="AJ22" s="148">
        <v>2</v>
      </c>
      <c r="AK22" s="114">
        <f t="shared" ref="AK22" si="53">AI22*AJ22</f>
        <v>4</v>
      </c>
      <c r="AL22" s="115" t="str">
        <f t="shared" ref="AL22" si="54">IF(AK22&lt;=4,"BAJO",IF(AK22&lt;=8,"MEDIO",IF(AK22&lt;=20,"ALTO",IF(AK22&lt;=40,"MUYALTO"))))</f>
        <v>BAJO</v>
      </c>
      <c r="AM22" s="155">
        <v>10</v>
      </c>
      <c r="AN22" s="116">
        <f t="shared" ref="AN22" si="55">AM22*AK22</f>
        <v>40</v>
      </c>
      <c r="AO22" s="117" t="str">
        <f t="shared" ref="AO22" si="56">IF(AN22&lt;=20,"IV",IF(AN22&lt;=120,"III",IF(AN22&lt;=500,"II",IF(AN22&gt;=600,"I"))))</f>
        <v>III</v>
      </c>
      <c r="AP22" s="118" t="str">
        <f>LOOKUP(AO22,{"I","II","III","IV"},{"NO ACEPTABLE","NO ACEPTABLE  O ACEPTABLE CON CONTROL ESPECÍFICO","ACEPTABLE","CONFORME"})</f>
        <v>ACEPTABLE</v>
      </c>
      <c r="AQ22" s="119">
        <f t="shared" ref="AQ22" si="57">S22</f>
        <v>40</v>
      </c>
      <c r="AR22" s="122">
        <f t="shared" ref="AR22" si="58">((AQ22-AN22)/AQ22)*100</f>
        <v>0</v>
      </c>
    </row>
    <row r="23" spans="1:44" ht="79.8">
      <c r="A23" s="193"/>
      <c r="B23" s="195"/>
      <c r="C23" s="169"/>
      <c r="D23" s="264"/>
      <c r="E23" s="151" t="s">
        <v>44</v>
      </c>
      <c r="F23" s="138"/>
      <c r="G23" s="163" t="s">
        <v>52</v>
      </c>
      <c r="H23" s="140" t="s">
        <v>568</v>
      </c>
      <c r="I23" s="141" t="s">
        <v>601</v>
      </c>
      <c r="J23" s="132" t="s">
        <v>569</v>
      </c>
      <c r="K23" s="132" t="s">
        <v>65</v>
      </c>
      <c r="L23" s="132" t="s">
        <v>65</v>
      </c>
      <c r="M23" s="130" t="s">
        <v>518</v>
      </c>
      <c r="N23" s="148">
        <v>2</v>
      </c>
      <c r="O23" s="148">
        <v>2</v>
      </c>
      <c r="P23" s="114">
        <f t="shared" si="34"/>
        <v>4</v>
      </c>
      <c r="Q23" s="115" t="str">
        <f t="shared" si="1"/>
        <v>BAJO</v>
      </c>
      <c r="R23" s="155">
        <v>10</v>
      </c>
      <c r="S23" s="116">
        <f t="shared" si="35"/>
        <v>40</v>
      </c>
      <c r="T23" s="117" t="str">
        <f t="shared" si="2"/>
        <v>III</v>
      </c>
      <c r="U23" s="118" t="str">
        <f>LOOKUP(T23,{"I","II","III","IV"},{"NO ACEPTABLE","NO ACEPTABLE  O ACEPTABLE CON CONTROL ESPECÍFICO","ACEPTABLE","CONFORME"})</f>
        <v>ACEPTABLE</v>
      </c>
      <c r="V23" s="114">
        <v>4</v>
      </c>
      <c r="W23" s="114">
        <v>0</v>
      </c>
      <c r="X23" s="114">
        <v>0</v>
      </c>
      <c r="Y23" s="114">
        <v>0</v>
      </c>
      <c r="Z23" s="119">
        <f t="shared" si="0"/>
        <v>4</v>
      </c>
      <c r="AA23" s="119" t="s">
        <v>603</v>
      </c>
      <c r="AB23" s="155" t="s">
        <v>570</v>
      </c>
      <c r="AC23" s="155" t="s">
        <v>46</v>
      </c>
      <c r="AD23" s="114" t="s">
        <v>47</v>
      </c>
      <c r="AE23" s="114" t="s">
        <v>47</v>
      </c>
      <c r="AF23" s="120" t="s">
        <v>47</v>
      </c>
      <c r="AG23" s="121" t="s">
        <v>571</v>
      </c>
      <c r="AH23" s="155" t="s">
        <v>47</v>
      </c>
      <c r="AI23" s="148">
        <v>2</v>
      </c>
      <c r="AJ23" s="148">
        <v>2</v>
      </c>
      <c r="AK23" s="114">
        <f t="shared" si="3"/>
        <v>4</v>
      </c>
      <c r="AL23" s="115" t="str">
        <f t="shared" si="4"/>
        <v>BAJO</v>
      </c>
      <c r="AM23" s="155">
        <v>10</v>
      </c>
      <c r="AN23" s="116">
        <f t="shared" si="36"/>
        <v>40</v>
      </c>
      <c r="AO23" s="117" t="str">
        <f t="shared" si="5"/>
        <v>III</v>
      </c>
      <c r="AP23" s="118" t="str">
        <f>LOOKUP(AO23,{"I","II","III","IV"},{"NO ACEPTABLE","NO ACEPTABLE  O ACEPTABLE CON CONTROL ESPECÍFICO","ACEPTABLE","CONFORME"})</f>
        <v>ACEPTABLE</v>
      </c>
      <c r="AQ23" s="119">
        <f t="shared" si="6"/>
        <v>40</v>
      </c>
      <c r="AR23" s="122">
        <f t="shared" si="7"/>
        <v>0</v>
      </c>
    </row>
    <row r="24" spans="1:44" ht="118.5" customHeight="1">
      <c r="A24" s="193"/>
      <c r="B24" s="195"/>
      <c r="C24" s="169"/>
      <c r="D24" s="264"/>
      <c r="E24" s="151"/>
      <c r="F24" s="151" t="s">
        <v>44</v>
      </c>
      <c r="G24" s="163" t="s">
        <v>52</v>
      </c>
      <c r="H24" s="140" t="s">
        <v>88</v>
      </c>
      <c r="I24" s="132" t="s">
        <v>574</v>
      </c>
      <c r="J24" s="132" t="s">
        <v>89</v>
      </c>
      <c r="K24" s="132" t="s">
        <v>65</v>
      </c>
      <c r="L24" s="132" t="s">
        <v>65</v>
      </c>
      <c r="M24" s="132" t="s">
        <v>519</v>
      </c>
      <c r="N24" s="148">
        <v>2</v>
      </c>
      <c r="O24" s="148">
        <v>2</v>
      </c>
      <c r="P24" s="114">
        <f t="shared" si="34"/>
        <v>4</v>
      </c>
      <c r="Q24" s="115" t="str">
        <f t="shared" si="1"/>
        <v>BAJO</v>
      </c>
      <c r="R24" s="155">
        <v>10</v>
      </c>
      <c r="S24" s="116">
        <f t="shared" si="35"/>
        <v>40</v>
      </c>
      <c r="T24" s="117" t="str">
        <f t="shared" si="2"/>
        <v>III</v>
      </c>
      <c r="U24" s="118" t="str">
        <f>LOOKUP(T24,{"I","II","III","IV"},{"NO ACEPTABLE","NO ACEPTABLE  O ACEPTABLE CON CONTROL ESPECÍFICO","ACEPTABLE","CONFORME"})</f>
        <v>ACEPTABLE</v>
      </c>
      <c r="V24" s="114">
        <v>4</v>
      </c>
      <c r="W24" s="114">
        <v>0</v>
      </c>
      <c r="X24" s="114">
        <v>0</v>
      </c>
      <c r="Y24" s="114">
        <v>0</v>
      </c>
      <c r="Z24" s="119">
        <f t="shared" si="0"/>
        <v>4</v>
      </c>
      <c r="AA24" s="119">
        <v>1</v>
      </c>
      <c r="AB24" s="132" t="s">
        <v>75</v>
      </c>
      <c r="AC24" s="155" t="s">
        <v>46</v>
      </c>
      <c r="AD24" s="114" t="s">
        <v>47</v>
      </c>
      <c r="AE24" s="114" t="s">
        <v>47</v>
      </c>
      <c r="AF24" s="120" t="s">
        <v>47</v>
      </c>
      <c r="AG24" s="132" t="s">
        <v>602</v>
      </c>
      <c r="AH24" s="120" t="s">
        <v>47</v>
      </c>
      <c r="AI24" s="148">
        <v>2</v>
      </c>
      <c r="AJ24" s="148">
        <v>2</v>
      </c>
      <c r="AK24" s="114">
        <f t="shared" si="3"/>
        <v>4</v>
      </c>
      <c r="AL24" s="115" t="str">
        <f t="shared" si="4"/>
        <v>BAJO</v>
      </c>
      <c r="AM24" s="155">
        <v>10</v>
      </c>
      <c r="AN24" s="116">
        <f t="shared" si="36"/>
        <v>40</v>
      </c>
      <c r="AO24" s="117" t="str">
        <f t="shared" si="5"/>
        <v>III</v>
      </c>
      <c r="AP24" s="118" t="str">
        <f>LOOKUP(AO24,{"I","II","III","IV"},{"NO ACEPTABLE","NO ACEPTABLE  O ACEPTABLE CON CONTROL ESPECÍFICO","ACEPTABLE","CONFORME"})</f>
        <v>ACEPTABLE</v>
      </c>
      <c r="AQ24" s="119">
        <f t="shared" si="6"/>
        <v>40</v>
      </c>
      <c r="AR24" s="122">
        <f t="shared" si="7"/>
        <v>0</v>
      </c>
    </row>
    <row r="25" spans="1:44" ht="116.1" customHeight="1">
      <c r="A25" s="193"/>
      <c r="B25" s="195"/>
      <c r="C25" s="169"/>
      <c r="D25" s="264"/>
      <c r="E25" s="138" t="s">
        <v>44</v>
      </c>
      <c r="F25" s="138"/>
      <c r="G25" s="164" t="s">
        <v>52</v>
      </c>
      <c r="H25" s="121" t="s">
        <v>76</v>
      </c>
      <c r="I25" s="136" t="s">
        <v>572</v>
      </c>
      <c r="J25" s="144" t="s">
        <v>573</v>
      </c>
      <c r="K25" s="136" t="s">
        <v>45</v>
      </c>
      <c r="L25" s="134" t="s">
        <v>45</v>
      </c>
      <c r="M25" s="134" t="s">
        <v>520</v>
      </c>
      <c r="N25" s="148">
        <v>2</v>
      </c>
      <c r="O25" s="148">
        <v>2</v>
      </c>
      <c r="P25" s="114">
        <f t="shared" si="34"/>
        <v>4</v>
      </c>
      <c r="Q25" s="115" t="str">
        <f t="shared" si="1"/>
        <v>BAJO</v>
      </c>
      <c r="R25" s="155">
        <v>10</v>
      </c>
      <c r="S25" s="116">
        <f t="shared" si="35"/>
        <v>40</v>
      </c>
      <c r="T25" s="117" t="str">
        <f t="shared" si="2"/>
        <v>III</v>
      </c>
      <c r="U25" s="118" t="str">
        <f>LOOKUP(T25,{"I","II","III","IV"},{"NO ACEPTABLE","NO ACEPTABLE  O ACEPTABLE CON CONTROL ESPECÍFICO","ACEPTABLE","CONFORME"})</f>
        <v>ACEPTABLE</v>
      </c>
      <c r="V25" s="114">
        <v>4</v>
      </c>
      <c r="W25" s="114">
        <v>0</v>
      </c>
      <c r="X25" s="114">
        <v>0</v>
      </c>
      <c r="Y25" s="114">
        <v>0</v>
      </c>
      <c r="Z25" s="119">
        <f t="shared" si="0"/>
        <v>4</v>
      </c>
      <c r="AA25" s="119">
        <v>2</v>
      </c>
      <c r="AB25" s="155" t="s">
        <v>77</v>
      </c>
      <c r="AC25" s="155" t="s">
        <v>46</v>
      </c>
      <c r="AD25" s="114" t="s">
        <v>47</v>
      </c>
      <c r="AE25" s="114" t="s">
        <v>47</v>
      </c>
      <c r="AF25" s="120" t="s">
        <v>47</v>
      </c>
      <c r="AG25" s="121" t="s">
        <v>521</v>
      </c>
      <c r="AH25" s="120" t="s">
        <v>47</v>
      </c>
      <c r="AI25" s="148">
        <v>2</v>
      </c>
      <c r="AJ25" s="148">
        <v>1</v>
      </c>
      <c r="AK25" s="114">
        <f t="shared" si="3"/>
        <v>2</v>
      </c>
      <c r="AL25" s="115" t="str">
        <f t="shared" si="4"/>
        <v>BAJO</v>
      </c>
      <c r="AM25" s="155">
        <v>10</v>
      </c>
      <c r="AN25" s="116">
        <f t="shared" si="36"/>
        <v>20</v>
      </c>
      <c r="AO25" s="117" t="str">
        <f t="shared" si="5"/>
        <v>IV</v>
      </c>
      <c r="AP25" s="118" t="str">
        <f>LOOKUP(AO25,{"I","II","III","IV"},{"NO ACEPTABLE","NO ACEPTABLE  O ACEPTABLE CON CONTROL ESPECÍFICO","ACEPTABLE","CONFORME"})</f>
        <v>CONFORME</v>
      </c>
      <c r="AQ25" s="119">
        <f t="shared" si="6"/>
        <v>40</v>
      </c>
      <c r="AR25" s="122">
        <f t="shared" si="7"/>
        <v>50</v>
      </c>
    </row>
    <row r="26" spans="1:44" ht="116.1" customHeight="1">
      <c r="A26" s="193"/>
      <c r="B26" s="195"/>
      <c r="C26" s="169"/>
      <c r="D26" s="264"/>
      <c r="E26" s="138"/>
      <c r="F26" s="138" t="s">
        <v>44</v>
      </c>
      <c r="G26" s="164" t="s">
        <v>52</v>
      </c>
      <c r="H26" s="121" t="s">
        <v>559</v>
      </c>
      <c r="I26" s="168" t="s">
        <v>575</v>
      </c>
      <c r="J26" s="144" t="s">
        <v>585</v>
      </c>
      <c r="K26" s="136" t="s">
        <v>64</v>
      </c>
      <c r="L26" s="134" t="s">
        <v>45</v>
      </c>
      <c r="M26" s="134" t="s">
        <v>520</v>
      </c>
      <c r="N26" s="148">
        <v>6</v>
      </c>
      <c r="O26" s="148">
        <v>1</v>
      </c>
      <c r="P26" s="114">
        <f t="shared" ref="P26" si="59">N26*O26</f>
        <v>6</v>
      </c>
      <c r="Q26" s="115" t="str">
        <f t="shared" ref="Q26" si="60">IF(P26&lt;=4,"BAJO",IF(P26&lt;=8,"MEDIO",IF(P26&lt;=20,"ALTO",IF(P26&lt;=40,"MUYALTO"))))</f>
        <v>MEDIO</v>
      </c>
      <c r="R26" s="155">
        <v>10</v>
      </c>
      <c r="S26" s="116">
        <f t="shared" ref="S26" si="61">R26*P26</f>
        <v>60</v>
      </c>
      <c r="T26" s="117" t="str">
        <f t="shared" ref="T26" si="62">IF(S26&lt;=20,"IV",IF(S26&lt;=120,"III",IF(S26&lt;=500,"II",IF(S26&gt;=600,"I"))))</f>
        <v>III</v>
      </c>
      <c r="U26" s="118" t="str">
        <f>LOOKUP(T26,{"I","II","III","IV"},{"NO ACEPTABLE","NO ACEPTABLE  O ACEPTABLE CON CONTROL ESPECÍFICO","ACEPTABLE","CONFORME"})</f>
        <v>ACEPTABLE</v>
      </c>
      <c r="V26" s="114">
        <v>4</v>
      </c>
      <c r="W26" s="114">
        <v>0</v>
      </c>
      <c r="X26" s="114">
        <v>0</v>
      </c>
      <c r="Y26" s="114">
        <v>0</v>
      </c>
      <c r="Z26" s="119">
        <f t="shared" ref="Z26" si="63">SUM(V26+W26+X26+Y26)</f>
        <v>4</v>
      </c>
      <c r="AA26" s="119">
        <v>1</v>
      </c>
      <c r="AB26" s="155" t="s">
        <v>576</v>
      </c>
      <c r="AC26" s="155" t="s">
        <v>46</v>
      </c>
      <c r="AD26" s="114" t="s">
        <v>47</v>
      </c>
      <c r="AE26" s="114" t="s">
        <v>47</v>
      </c>
      <c r="AF26" s="120" t="s">
        <v>47</v>
      </c>
      <c r="AG26" s="121" t="s">
        <v>577</v>
      </c>
      <c r="AH26" s="120" t="s">
        <v>47</v>
      </c>
      <c r="AI26" s="148">
        <v>2</v>
      </c>
      <c r="AJ26" s="148">
        <v>2</v>
      </c>
      <c r="AK26" s="114">
        <f t="shared" ref="AK26" si="64">AI26*AJ26</f>
        <v>4</v>
      </c>
      <c r="AL26" s="115" t="str">
        <f t="shared" ref="AL26" si="65">IF(AK26&lt;=4,"BAJO",IF(AK26&lt;=8,"MEDIO",IF(AK26&lt;=20,"ALTO",IF(AK26&lt;=40,"MUYALTO"))))</f>
        <v>BAJO</v>
      </c>
      <c r="AM26" s="155">
        <v>10</v>
      </c>
      <c r="AN26" s="116">
        <f t="shared" ref="AN26" si="66">AM26*AK26</f>
        <v>40</v>
      </c>
      <c r="AO26" s="117" t="str">
        <f t="shared" ref="AO26" si="67">IF(AN26&lt;=20,"IV",IF(AN26&lt;=120,"III",IF(AN26&lt;=500,"II",IF(AN26&gt;=600,"I"))))</f>
        <v>III</v>
      </c>
      <c r="AP26" s="118" t="str">
        <f>LOOKUP(AO26,{"I","II","III","IV"},{"NO ACEPTABLE","NO ACEPTABLE  O ACEPTABLE CON CONTROL ESPECÍFICO","ACEPTABLE","CONFORME"})</f>
        <v>ACEPTABLE</v>
      </c>
      <c r="AQ26" s="119">
        <f t="shared" ref="AQ26" si="68">S26</f>
        <v>60</v>
      </c>
      <c r="AR26" s="122">
        <f t="shared" ref="AR26" si="69">((AQ26-AN26)/AQ26)*100</f>
        <v>33.333333333333329</v>
      </c>
    </row>
    <row r="27" spans="1:44" ht="133.19999999999999" customHeight="1">
      <c r="A27" s="193"/>
      <c r="B27" s="195"/>
      <c r="C27" s="169"/>
      <c r="D27" s="265"/>
      <c r="E27" s="151" t="s">
        <v>44</v>
      </c>
      <c r="F27" s="138"/>
      <c r="G27" s="164" t="s">
        <v>56</v>
      </c>
      <c r="H27" s="140" t="s">
        <v>578</v>
      </c>
      <c r="I27" s="141" t="s">
        <v>579</v>
      </c>
      <c r="J27" s="132" t="s">
        <v>57</v>
      </c>
      <c r="K27" s="134" t="s">
        <v>45</v>
      </c>
      <c r="L27" s="135" t="s">
        <v>45</v>
      </c>
      <c r="M27" s="130" t="s">
        <v>522</v>
      </c>
      <c r="N27" s="148">
        <v>2</v>
      </c>
      <c r="O27" s="148">
        <v>2</v>
      </c>
      <c r="P27" s="114">
        <f t="shared" si="34"/>
        <v>4</v>
      </c>
      <c r="Q27" s="115" t="str">
        <f t="shared" si="1"/>
        <v>BAJO</v>
      </c>
      <c r="R27" s="155">
        <v>10</v>
      </c>
      <c r="S27" s="116">
        <f t="shared" si="35"/>
        <v>40</v>
      </c>
      <c r="T27" s="117" t="str">
        <f t="shared" si="2"/>
        <v>III</v>
      </c>
      <c r="U27" s="118" t="str">
        <f>LOOKUP(T27,{"I","II","III","IV"},{"NO ACEPTABLE","NO ACEPTABLE  O ACEPTABLE CON CONTROL ESPECÍFICO","ACEPTABLE","CONFORME"})</f>
        <v>ACEPTABLE</v>
      </c>
      <c r="V27" s="114">
        <v>4</v>
      </c>
      <c r="W27" s="114">
        <v>0</v>
      </c>
      <c r="X27" s="114">
        <v>0</v>
      </c>
      <c r="Y27" s="114">
        <v>0</v>
      </c>
      <c r="Z27" s="119">
        <v>0</v>
      </c>
      <c r="AA27" s="119">
        <v>1</v>
      </c>
      <c r="AB27" s="155" t="s">
        <v>580</v>
      </c>
      <c r="AC27" s="155" t="s">
        <v>48</v>
      </c>
      <c r="AD27" s="117" t="s">
        <v>47</v>
      </c>
      <c r="AE27" s="117" t="s">
        <v>47</v>
      </c>
      <c r="AF27" s="123" t="s">
        <v>47</v>
      </c>
      <c r="AG27" s="121" t="s">
        <v>523</v>
      </c>
      <c r="AH27" s="123" t="s">
        <v>47</v>
      </c>
      <c r="AI27" s="148">
        <v>2</v>
      </c>
      <c r="AJ27" s="148">
        <v>2</v>
      </c>
      <c r="AK27" s="114">
        <f t="shared" si="3"/>
        <v>4</v>
      </c>
      <c r="AL27" s="115" t="str">
        <f t="shared" si="4"/>
        <v>BAJO</v>
      </c>
      <c r="AM27" s="155">
        <v>10</v>
      </c>
      <c r="AN27" s="116">
        <f t="shared" si="36"/>
        <v>40</v>
      </c>
      <c r="AO27" s="117" t="str">
        <f t="shared" si="5"/>
        <v>III</v>
      </c>
      <c r="AP27" s="118" t="str">
        <f>LOOKUP(AO27,{"I","II","III","IV"},{"NO ACEPTABLE","NO ACEPTABLE  O ACEPTABLE CON CONTROL ESPECÍFICO","ACEPTABLE","CONFORME"})</f>
        <v>ACEPTABLE</v>
      </c>
      <c r="AQ27" s="119">
        <f t="shared" si="6"/>
        <v>40</v>
      </c>
      <c r="AR27" s="122">
        <f t="shared" si="7"/>
        <v>0</v>
      </c>
    </row>
    <row r="28" spans="1:44" ht="13.2" customHeight="1">
      <c r="C28" s="166"/>
    </row>
    <row r="29" spans="1:44" ht="13.2" customHeight="1"/>
    <row r="31" spans="1:44">
      <c r="N31" s="124" t="s">
        <v>58</v>
      </c>
    </row>
    <row r="32" spans="1:44">
      <c r="N32" s="124">
        <v>10</v>
      </c>
      <c r="O32" s="124">
        <v>4</v>
      </c>
      <c r="R32" s="98">
        <v>100</v>
      </c>
    </row>
    <row r="33" spans="1:246" s="124" customFormat="1">
      <c r="A33" s="98"/>
      <c r="B33" s="98"/>
      <c r="E33" s="125"/>
      <c r="F33" s="126"/>
      <c r="G33" s="126"/>
      <c r="M33" s="127"/>
      <c r="N33" s="124">
        <v>6</v>
      </c>
      <c r="O33" s="124">
        <v>3</v>
      </c>
      <c r="P33" s="98"/>
      <c r="Q33" s="128"/>
      <c r="R33" s="98">
        <v>60</v>
      </c>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c r="CZ33" s="98"/>
      <c r="DA33" s="98"/>
      <c r="DB33" s="98"/>
      <c r="DC33" s="98"/>
      <c r="DD33" s="98"/>
      <c r="DE33" s="98"/>
      <c r="DF33" s="98"/>
      <c r="DG33" s="98"/>
      <c r="DH33" s="98"/>
      <c r="DI33" s="98"/>
      <c r="DJ33" s="98"/>
      <c r="DK33" s="98"/>
      <c r="DL33" s="98"/>
      <c r="DM33" s="98"/>
      <c r="DN33" s="98"/>
      <c r="DO33" s="98"/>
      <c r="DP33" s="98"/>
      <c r="DQ33" s="98"/>
      <c r="DR33" s="98"/>
      <c r="DS33" s="98"/>
      <c r="DT33" s="98"/>
      <c r="DU33" s="98"/>
      <c r="DV33" s="98"/>
      <c r="DW33" s="98"/>
      <c r="DX33" s="98"/>
      <c r="DY33" s="98"/>
      <c r="DZ33" s="98"/>
      <c r="EA33" s="98"/>
      <c r="EB33" s="98"/>
      <c r="EC33" s="98"/>
      <c r="ED33" s="98"/>
      <c r="EE33" s="98"/>
      <c r="EF33" s="98"/>
      <c r="EG33" s="98"/>
      <c r="EH33" s="98"/>
      <c r="EI33" s="98"/>
      <c r="EJ33" s="98"/>
      <c r="EK33" s="98"/>
      <c r="EL33" s="98"/>
      <c r="EM33" s="98"/>
      <c r="EN33" s="98"/>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8"/>
      <c r="FO33" s="98"/>
      <c r="FP33" s="98"/>
      <c r="FQ33" s="98"/>
      <c r="FR33" s="98"/>
      <c r="FS33" s="98"/>
      <c r="FT33" s="98"/>
      <c r="FU33" s="98"/>
      <c r="FV33" s="98"/>
      <c r="FW33" s="98"/>
      <c r="FX33" s="98"/>
      <c r="FY33" s="98"/>
      <c r="FZ33" s="98"/>
      <c r="GA33" s="98"/>
      <c r="GB33" s="98"/>
      <c r="GC33" s="98"/>
      <c r="GD33" s="98"/>
      <c r="GE33" s="98"/>
      <c r="GF33" s="98"/>
      <c r="GG33" s="98"/>
      <c r="GH33" s="98"/>
      <c r="GI33" s="98"/>
      <c r="GJ33" s="98"/>
      <c r="GK33" s="98"/>
      <c r="GL33" s="98"/>
      <c r="GM33" s="98"/>
      <c r="GN33" s="98"/>
      <c r="GO33" s="98"/>
      <c r="GP33" s="98"/>
      <c r="GQ33" s="98"/>
      <c r="GR33" s="98"/>
      <c r="GS33" s="98"/>
      <c r="GT33" s="98"/>
      <c r="GU33" s="98"/>
      <c r="GV33" s="98"/>
      <c r="GW33" s="98"/>
      <c r="GX33" s="98"/>
      <c r="GY33" s="98"/>
      <c r="GZ33" s="98"/>
      <c r="HA33" s="98"/>
      <c r="HB33" s="98"/>
      <c r="HC33" s="98"/>
      <c r="HD33" s="98"/>
      <c r="HE33" s="98"/>
      <c r="HF33" s="98"/>
      <c r="HG33" s="98"/>
      <c r="HH33" s="98"/>
      <c r="HI33" s="98"/>
      <c r="HJ33" s="98"/>
      <c r="HK33" s="98"/>
      <c r="HL33" s="98"/>
      <c r="HM33" s="98"/>
      <c r="HN33" s="98"/>
      <c r="HO33" s="98"/>
      <c r="HP33" s="98"/>
      <c r="HQ33" s="98"/>
      <c r="HR33" s="98"/>
      <c r="HS33" s="98"/>
      <c r="HT33" s="98"/>
      <c r="HU33" s="98"/>
      <c r="HV33" s="98"/>
      <c r="HW33" s="98"/>
      <c r="HX33" s="98"/>
      <c r="HY33" s="98"/>
      <c r="HZ33" s="98"/>
      <c r="IA33" s="98"/>
      <c r="IB33" s="98"/>
      <c r="IC33" s="98"/>
      <c r="ID33" s="98"/>
      <c r="IE33" s="98"/>
      <c r="IF33" s="98"/>
      <c r="IG33" s="98"/>
      <c r="IH33" s="98"/>
      <c r="II33" s="98"/>
      <c r="IJ33" s="98"/>
      <c r="IK33" s="98"/>
      <c r="IL33" s="98"/>
    </row>
    <row r="34" spans="1:246" s="124" customFormat="1">
      <c r="A34" s="98"/>
      <c r="B34" s="98"/>
      <c r="E34" s="125"/>
      <c r="F34" s="126"/>
      <c r="G34" s="126"/>
      <c r="M34" s="127"/>
      <c r="N34" s="124">
        <v>2</v>
      </c>
      <c r="O34" s="124">
        <v>2</v>
      </c>
      <c r="P34" s="98"/>
      <c r="Q34" s="128"/>
      <c r="R34" s="98">
        <v>25</v>
      </c>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c r="CU34" s="98"/>
      <c r="CV34" s="98"/>
      <c r="CW34" s="98"/>
      <c r="CX34" s="98"/>
      <c r="CY34" s="98"/>
      <c r="CZ34" s="98"/>
      <c r="DA34" s="98"/>
      <c r="DB34" s="98"/>
      <c r="DC34" s="98"/>
      <c r="DD34" s="98"/>
      <c r="DE34" s="98"/>
      <c r="DF34" s="98"/>
      <c r="DG34" s="98"/>
      <c r="DH34" s="98"/>
      <c r="DI34" s="98"/>
      <c r="DJ34" s="98"/>
      <c r="DK34" s="98"/>
      <c r="DL34" s="98"/>
      <c r="DM34" s="98"/>
      <c r="DN34" s="98"/>
      <c r="DO34" s="98"/>
      <c r="DP34" s="98"/>
      <c r="DQ34" s="98"/>
      <c r="DR34" s="98"/>
      <c r="DS34" s="98"/>
      <c r="DT34" s="98"/>
      <c r="DU34" s="98"/>
      <c r="DV34" s="98"/>
      <c r="DW34" s="98"/>
      <c r="DX34" s="98"/>
      <c r="DY34" s="98"/>
      <c r="DZ34" s="98"/>
      <c r="EA34" s="98"/>
      <c r="EB34" s="98"/>
      <c r="EC34" s="98"/>
      <c r="ED34" s="98"/>
      <c r="EE34" s="98"/>
      <c r="EF34" s="98"/>
      <c r="EG34" s="98"/>
      <c r="EH34" s="98"/>
      <c r="EI34" s="98"/>
      <c r="EJ34" s="98"/>
      <c r="EK34" s="98"/>
      <c r="EL34" s="98"/>
      <c r="EM34" s="98"/>
      <c r="EN34" s="98"/>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8"/>
      <c r="FO34" s="98"/>
      <c r="FP34" s="98"/>
      <c r="FQ34" s="98"/>
      <c r="FR34" s="98"/>
      <c r="FS34" s="98"/>
      <c r="FT34" s="98"/>
      <c r="FU34" s="98"/>
      <c r="FV34" s="98"/>
      <c r="FW34" s="98"/>
      <c r="FX34" s="98"/>
      <c r="FY34" s="98"/>
      <c r="FZ34" s="98"/>
      <c r="GA34" s="98"/>
      <c r="GB34" s="98"/>
      <c r="GC34" s="98"/>
      <c r="GD34" s="98"/>
      <c r="GE34" s="98"/>
      <c r="GF34" s="98"/>
      <c r="GG34" s="98"/>
      <c r="GH34" s="98"/>
      <c r="GI34" s="98"/>
      <c r="GJ34" s="98"/>
      <c r="GK34" s="98"/>
      <c r="GL34" s="98"/>
      <c r="GM34" s="98"/>
      <c r="GN34" s="98"/>
      <c r="GO34" s="98"/>
      <c r="GP34" s="98"/>
      <c r="GQ34" s="98"/>
      <c r="GR34" s="98"/>
      <c r="GS34" s="98"/>
      <c r="GT34" s="98"/>
      <c r="GU34" s="98"/>
      <c r="GV34" s="98"/>
      <c r="GW34" s="98"/>
      <c r="GX34" s="98"/>
      <c r="GY34" s="98"/>
      <c r="GZ34" s="98"/>
      <c r="HA34" s="98"/>
      <c r="HB34" s="98"/>
      <c r="HC34" s="98"/>
      <c r="HD34" s="98"/>
      <c r="HE34" s="98"/>
      <c r="HF34" s="98"/>
      <c r="HG34" s="98"/>
      <c r="HH34" s="98"/>
      <c r="HI34" s="98"/>
      <c r="HJ34" s="98"/>
      <c r="HK34" s="98"/>
      <c r="HL34" s="98"/>
      <c r="HM34" s="98"/>
      <c r="HN34" s="98"/>
      <c r="HO34" s="98"/>
      <c r="HP34" s="98"/>
      <c r="HQ34" s="98"/>
      <c r="HR34" s="98"/>
      <c r="HS34" s="98"/>
      <c r="HT34" s="98"/>
      <c r="HU34" s="98"/>
      <c r="HV34" s="98"/>
      <c r="HW34" s="98"/>
      <c r="HX34" s="98"/>
      <c r="HY34" s="98"/>
      <c r="HZ34" s="98"/>
      <c r="IA34" s="98"/>
      <c r="IB34" s="98"/>
      <c r="IC34" s="98"/>
      <c r="ID34" s="98"/>
      <c r="IE34" s="98"/>
      <c r="IF34" s="98"/>
      <c r="IG34" s="98"/>
      <c r="IH34" s="98"/>
      <c r="II34" s="98"/>
      <c r="IJ34" s="98"/>
      <c r="IK34" s="98"/>
      <c r="IL34" s="98"/>
    </row>
    <row r="35" spans="1:246" s="124" customFormat="1">
      <c r="A35" s="98"/>
      <c r="B35" s="98"/>
      <c r="E35" s="125"/>
      <c r="F35" s="126"/>
      <c r="G35" s="126"/>
      <c r="M35" s="127"/>
      <c r="P35" s="98"/>
      <c r="Q35" s="128"/>
      <c r="R35" s="98">
        <v>10</v>
      </c>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c r="CU35" s="98"/>
      <c r="CV35" s="98"/>
      <c r="CW35" s="98"/>
      <c r="CX35" s="98"/>
      <c r="CY35" s="98"/>
      <c r="CZ35" s="98"/>
      <c r="DA35" s="98"/>
      <c r="DB35" s="98"/>
      <c r="DC35" s="98"/>
      <c r="DD35" s="98"/>
      <c r="DE35" s="98"/>
      <c r="DF35" s="98"/>
      <c r="DG35" s="98"/>
      <c r="DH35" s="98"/>
      <c r="DI35" s="98"/>
      <c r="DJ35" s="98"/>
      <c r="DK35" s="98"/>
      <c r="DL35" s="98"/>
      <c r="DM35" s="98"/>
      <c r="DN35" s="98"/>
      <c r="DO35" s="98"/>
      <c r="DP35" s="98"/>
      <c r="DQ35" s="98"/>
      <c r="DR35" s="98"/>
      <c r="DS35" s="98"/>
      <c r="DT35" s="98"/>
      <c r="DU35" s="98"/>
      <c r="DV35" s="98"/>
      <c r="DW35" s="98"/>
      <c r="DX35" s="98"/>
      <c r="DY35" s="98"/>
      <c r="DZ35" s="98"/>
      <c r="EA35" s="98"/>
      <c r="EB35" s="98"/>
      <c r="EC35" s="98"/>
      <c r="ED35" s="98"/>
      <c r="EE35" s="98"/>
      <c r="EF35" s="98"/>
      <c r="EG35" s="98"/>
      <c r="EH35" s="98"/>
      <c r="EI35" s="98"/>
      <c r="EJ35" s="98"/>
      <c r="EK35" s="98"/>
      <c r="EL35" s="98"/>
      <c r="EM35" s="98"/>
      <c r="EN35" s="98"/>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8"/>
      <c r="FO35" s="98"/>
      <c r="FP35" s="98"/>
      <c r="FQ35" s="98"/>
      <c r="FR35" s="98"/>
      <c r="FS35" s="98"/>
      <c r="FT35" s="98"/>
      <c r="FU35" s="98"/>
      <c r="FV35" s="98"/>
      <c r="FW35" s="98"/>
      <c r="FX35" s="98"/>
      <c r="FY35" s="98"/>
      <c r="FZ35" s="98"/>
      <c r="GA35" s="98"/>
      <c r="GB35" s="98"/>
      <c r="GC35" s="98"/>
      <c r="GD35" s="98"/>
      <c r="GE35" s="98"/>
      <c r="GF35" s="98"/>
      <c r="GG35" s="98"/>
      <c r="GH35" s="98"/>
      <c r="GI35" s="98"/>
      <c r="GJ35" s="98"/>
      <c r="GK35" s="98"/>
      <c r="GL35" s="98"/>
      <c r="GM35" s="98"/>
      <c r="GN35" s="98"/>
      <c r="GO35" s="98"/>
      <c r="GP35" s="98"/>
      <c r="GQ35" s="98"/>
      <c r="GR35" s="98"/>
      <c r="GS35" s="98"/>
      <c r="GT35" s="98"/>
      <c r="GU35" s="98"/>
      <c r="GV35" s="98"/>
      <c r="GW35" s="98"/>
      <c r="GX35" s="98"/>
      <c r="GY35" s="98"/>
      <c r="GZ35" s="98"/>
      <c r="HA35" s="98"/>
      <c r="HB35" s="98"/>
      <c r="HC35" s="98"/>
      <c r="HD35" s="98"/>
      <c r="HE35" s="98"/>
      <c r="HF35" s="98"/>
      <c r="HG35" s="98"/>
      <c r="HH35" s="98"/>
      <c r="HI35" s="98"/>
      <c r="HJ35" s="98"/>
      <c r="HK35" s="98"/>
      <c r="HL35" s="98"/>
      <c r="HM35" s="98"/>
      <c r="HN35" s="98"/>
      <c r="HO35" s="98"/>
      <c r="HP35" s="98"/>
      <c r="HQ35" s="98"/>
      <c r="HR35" s="98"/>
      <c r="HS35" s="98"/>
      <c r="HT35" s="98"/>
      <c r="HU35" s="98"/>
      <c r="HV35" s="98"/>
      <c r="HW35" s="98"/>
      <c r="HX35" s="98"/>
      <c r="HY35" s="98"/>
      <c r="HZ35" s="98"/>
      <c r="IA35" s="98"/>
      <c r="IB35" s="98"/>
      <c r="IC35" s="98"/>
      <c r="ID35" s="98"/>
      <c r="IE35" s="98"/>
      <c r="IF35" s="98"/>
      <c r="IG35" s="98"/>
      <c r="IH35" s="98"/>
      <c r="II35" s="98"/>
      <c r="IJ35" s="98"/>
      <c r="IK35" s="98"/>
      <c r="IL35" s="98"/>
    </row>
  </sheetData>
  <autoFilter ref="A8:IL27" xr:uid="{00000000-0009-0000-0000-000002000000}">
    <filterColumn colId="42" showButton="0"/>
  </autoFilter>
  <mergeCells count="27">
    <mergeCell ref="D9:D27"/>
    <mergeCell ref="AG3:AH3"/>
    <mergeCell ref="C5:D5"/>
    <mergeCell ref="H5:I5"/>
    <mergeCell ref="J5:N5"/>
    <mergeCell ref="AQ7:AR8"/>
    <mergeCell ref="H7:H8"/>
    <mergeCell ref="I7:I8"/>
    <mergeCell ref="J7:J8"/>
    <mergeCell ref="K7:M7"/>
    <mergeCell ref="N7:T7"/>
    <mergeCell ref="V7:AC7"/>
    <mergeCell ref="AI7:AO7"/>
    <mergeCell ref="A1:C3"/>
    <mergeCell ref="D1:AF3"/>
    <mergeCell ref="AD7:AH7"/>
    <mergeCell ref="A7:A8"/>
    <mergeCell ref="A9:A27"/>
    <mergeCell ref="B9:B27"/>
    <mergeCell ref="C9:C27"/>
    <mergeCell ref="B7:B8"/>
    <mergeCell ref="C7:C8"/>
    <mergeCell ref="D7:D8"/>
    <mergeCell ref="E7:F7"/>
    <mergeCell ref="G7:G8"/>
    <mergeCell ref="AG1:AH1"/>
    <mergeCell ref="AG2:AH2"/>
  </mergeCells>
  <conditionalFormatting sqref="Q9:Q27 AL9:AL27">
    <cfRule type="containsText" dxfId="28" priority="3" stopIfTrue="1" operator="containsText" text="muy alto">
      <formula>NOT(ISERROR(SEARCH("muy alto",Q9)))</formula>
    </cfRule>
    <cfRule type="containsText" dxfId="27" priority="4" stopIfTrue="1" operator="containsText" text="alto">
      <formula>NOT(ISERROR(SEARCH("alto",Q9)))</formula>
    </cfRule>
    <cfRule type="containsText" dxfId="26" priority="5" stopIfTrue="1" operator="containsText" text="medio">
      <formula>NOT(ISERROR(SEARCH("medio",Q9)))</formula>
    </cfRule>
    <cfRule type="containsText" dxfId="25" priority="6" stopIfTrue="1" operator="containsText" text="bajo">
      <formula>NOT(ISERROR(SEARCH("bajo",Q9)))</formula>
    </cfRule>
  </conditionalFormatting>
  <conditionalFormatting sqref="U9 U14:W27">
    <cfRule type="cellIs" dxfId="24" priority="90" operator="equal">
      <formula>"NO ACEPTABLE  O ACEPTABLE CON CONTROL ESPECÍFICO"</formula>
    </cfRule>
    <cfRule type="cellIs" dxfId="23" priority="91" operator="equal">
      <formula>"NO ACEPTABLE"</formula>
    </cfRule>
  </conditionalFormatting>
  <conditionalFormatting sqref="U9">
    <cfRule type="cellIs" dxfId="22" priority="92" operator="equal">
      <formula>"ACEPTABLE"</formula>
    </cfRule>
  </conditionalFormatting>
  <conditionalFormatting sqref="U12">
    <cfRule type="containsText" dxfId="21" priority="7" operator="containsText" text="CONFORME">
      <formula>NOT(ISERROR(SEARCH("CONFORME",U12)))</formula>
    </cfRule>
    <cfRule type="cellIs" dxfId="20" priority="8" operator="equal">
      <formula>"NO ACEPTABLE  O ACEPTABLE CON CONTROL ESPECÍFICO"</formula>
    </cfRule>
    <cfRule type="cellIs" dxfId="19" priority="9" operator="equal">
      <formula>"NO ACEPTABLE"</formula>
    </cfRule>
    <cfRule type="cellIs" dxfId="18" priority="10" operator="equal">
      <formula>"ACEPTABLE"</formula>
    </cfRule>
  </conditionalFormatting>
  <conditionalFormatting sqref="U10:Y11 U13:Y27">
    <cfRule type="cellIs" dxfId="17" priority="52" operator="equal">
      <formula>"ACEPTABLE"</formula>
    </cfRule>
  </conditionalFormatting>
  <conditionalFormatting sqref="U10:Y11">
    <cfRule type="containsText" dxfId="16" priority="81" operator="containsText" text="CONFORME">
      <formula>NOT(ISERROR(SEARCH("CONFORME",U10)))</formula>
    </cfRule>
    <cfRule type="cellIs" dxfId="15" priority="82" operator="equal">
      <formula>"NO ACEPTABLE  O ACEPTABLE CON CONTROL ESPECÍFICO"</formula>
    </cfRule>
    <cfRule type="cellIs" dxfId="14" priority="83" operator="equal">
      <formula>"NO ACEPTABLE"</formula>
    </cfRule>
  </conditionalFormatting>
  <conditionalFormatting sqref="U13:Y13">
    <cfRule type="containsText" dxfId="13" priority="49" operator="containsText" text="CONFORME">
      <formula>NOT(ISERROR(SEARCH("CONFORME",U13)))</formula>
    </cfRule>
    <cfRule type="cellIs" dxfId="12" priority="50" operator="equal">
      <formula>"NO ACEPTABLE  O ACEPTABLE CON CONTROL ESPECÍFICO"</formula>
    </cfRule>
    <cfRule type="cellIs" dxfId="11" priority="51" operator="equal">
      <formula>"NO ACEPTABLE"</formula>
    </cfRule>
  </conditionalFormatting>
  <conditionalFormatting sqref="U14:Y27 U9">
    <cfRule type="containsText" dxfId="10" priority="89" operator="containsText" text="CONFORME">
      <formula>NOT(ISERROR(SEARCH("CONFORME",U9)))</formula>
    </cfRule>
  </conditionalFormatting>
  <conditionalFormatting sqref="V9:Y12">
    <cfRule type="containsText" dxfId="9" priority="1" operator="containsText" text="CONFORME">
      <formula>NOT(ISERROR(SEARCH("CONFORME",V9)))</formula>
    </cfRule>
    <cfRule type="cellIs" dxfId="8" priority="2" operator="equal">
      <formula>"ACEPTABLE"</formula>
    </cfRule>
    <cfRule type="cellIs" dxfId="7" priority="11" operator="equal">
      <formula>"NO ACEPTABLE  O ACEPTABLE CON CONTROL ESPECÍFICO"</formula>
    </cfRule>
    <cfRule type="cellIs" dxfId="6" priority="12" operator="equal">
      <formula>"NO ACEPTABLE"</formula>
    </cfRule>
  </conditionalFormatting>
  <conditionalFormatting sqref="V14:Y27">
    <cfRule type="cellIs" dxfId="5" priority="70" operator="equal">
      <formula>"NO ACEPTABLE  O ACEPTABLE CON CONTROL ESPECÍFICO"</formula>
    </cfRule>
    <cfRule type="cellIs" dxfId="4" priority="71" operator="equal">
      <formula>"NO ACEPTABLE"</formula>
    </cfRule>
  </conditionalFormatting>
  <conditionalFormatting sqref="AP9:AP27 X14:Y16">
    <cfRule type="containsText" dxfId="3" priority="13" operator="containsText" text="CONFORME">
      <formula>NOT(ISERROR(SEARCH("CONFORME",X9)))</formula>
    </cfRule>
    <cfRule type="cellIs" dxfId="2" priority="14" operator="equal">
      <formula>"NO ACEPTABLE  O ACEPTABLE CON CONTROL ESPECÍFICO"</formula>
    </cfRule>
    <cfRule type="cellIs" dxfId="1" priority="15" operator="equal">
      <formula>"NO ACEPTABLE"</formula>
    </cfRule>
    <cfRule type="cellIs" dxfId="0" priority="16" operator="equal">
      <formula>"ACEPTABLE"</formula>
    </cfRule>
  </conditionalFormatting>
  <dataValidations count="4">
    <dataValidation type="list" allowBlank="1" showInputMessage="1" showErrorMessage="1" sqref="N9 N20 AI11:AI12 AI14:AI18 N11:N18 AI20:AI22 N25:N27 AI25:AI27" xr:uid="{00000000-0002-0000-0200-000002000000}">
      <formula1>"10,6,2"</formula1>
    </dataValidation>
    <dataValidation type="list" allowBlank="1" showInputMessage="1" showErrorMessage="1" sqref="AI9:AI10 AI13 N10 AI19 N19 N21:N24 AI23:AI24" xr:uid="{00000000-0002-0000-0200-000003000000}">
      <formula1>"10,6,2,0"</formula1>
    </dataValidation>
    <dataValidation type="list" allowBlank="1" showInputMessage="1" showErrorMessage="1" sqref="AM9:AM27 R9:R27" xr:uid="{00000000-0002-0000-0200-000000000000}">
      <formula1>"100,60,25,10"</formula1>
    </dataValidation>
    <dataValidation type="list" allowBlank="1" showInputMessage="1" showErrorMessage="1" sqref="AJ9:AJ27 O9:O27" xr:uid="{00000000-0002-0000-0200-000001000000}">
      <formula1>"4,3,2,1"</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C5"/>
  <sheetViews>
    <sheetView showGridLines="0" workbookViewId="0">
      <selection activeCell="C23" sqref="C23"/>
    </sheetView>
  </sheetViews>
  <sheetFormatPr baseColWidth="10" defaultColWidth="8.6640625" defaultRowHeight="13.2"/>
  <cols>
    <col min="1" max="1" width="2" customWidth="1"/>
    <col min="2" max="2" width="11.44140625" customWidth="1"/>
    <col min="3" max="3" width="64.6640625" customWidth="1"/>
    <col min="4" max="256" width="11.44140625" customWidth="1"/>
  </cols>
  <sheetData>
    <row r="2" spans="2:3" ht="13.8" thickBot="1">
      <c r="B2" s="216" t="s">
        <v>584</v>
      </c>
      <c r="C2" s="217"/>
    </row>
    <row r="3" spans="2:3">
      <c r="B3" s="96" t="s">
        <v>94</v>
      </c>
      <c r="C3" s="96" t="s">
        <v>95</v>
      </c>
    </row>
    <row r="4" spans="2:3">
      <c r="B4" s="97">
        <v>45798</v>
      </c>
      <c r="C4" s="161" t="s">
        <v>96</v>
      </c>
    </row>
    <row r="5" spans="2:3">
      <c r="B5" s="97"/>
      <c r="C5" s="161"/>
    </row>
  </sheetData>
  <mergeCells count="1">
    <mergeCell ref="B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38"/>
  <sheetViews>
    <sheetView zoomScaleNormal="100" zoomScaleSheetLayoutView="100" workbookViewId="0">
      <selection activeCell="F3" sqref="F3"/>
    </sheetView>
  </sheetViews>
  <sheetFormatPr baseColWidth="10" defaultColWidth="11.44140625" defaultRowHeight="10.199999999999999"/>
  <cols>
    <col min="1" max="1" width="16.88671875" style="51" customWidth="1"/>
    <col min="2" max="2" width="20.109375" style="51" customWidth="1"/>
    <col min="3" max="3" width="17.88671875" style="51" customWidth="1"/>
    <col min="4" max="4" width="47.6640625" style="51" customWidth="1"/>
    <col min="5" max="5" width="11.44140625" style="51"/>
    <col min="6" max="6" width="22.88671875" style="51" customWidth="1"/>
    <col min="7" max="16384" width="11.44140625" style="51"/>
  </cols>
  <sheetData>
    <row r="1" spans="1:16" ht="10.8" thickBot="1">
      <c r="A1" s="3"/>
      <c r="B1" s="235" t="s">
        <v>97</v>
      </c>
      <c r="C1" s="235"/>
      <c r="D1" s="235"/>
      <c r="E1" s="3"/>
      <c r="F1" s="3"/>
      <c r="G1" s="3"/>
      <c r="H1" s="3"/>
      <c r="I1" s="3"/>
      <c r="J1" s="3"/>
      <c r="K1" s="3"/>
      <c r="L1" s="3"/>
      <c r="M1" s="3"/>
      <c r="N1" s="3"/>
      <c r="O1" s="3"/>
      <c r="P1" s="3"/>
    </row>
    <row r="2" spans="1:16" ht="20.399999999999999">
      <c r="A2" s="3"/>
      <c r="B2" s="57" t="s">
        <v>98</v>
      </c>
      <c r="C2" s="58" t="s">
        <v>99</v>
      </c>
      <c r="D2" s="59" t="s">
        <v>100</v>
      </c>
      <c r="E2" s="3"/>
      <c r="F2" s="52" t="s">
        <v>101</v>
      </c>
      <c r="G2" s="3"/>
      <c r="H2" s="3"/>
      <c r="I2" s="3"/>
      <c r="J2" s="3"/>
      <c r="K2" s="3"/>
      <c r="L2" s="3"/>
      <c r="M2" s="3"/>
      <c r="N2" s="3"/>
      <c r="O2" s="3"/>
      <c r="P2" s="3"/>
    </row>
    <row r="3" spans="1:16" ht="48" customHeight="1">
      <c r="A3" s="3"/>
      <c r="B3" s="60" t="s">
        <v>102</v>
      </c>
      <c r="C3" s="157">
        <v>10</v>
      </c>
      <c r="D3" s="61" t="s">
        <v>103</v>
      </c>
      <c r="E3" s="3"/>
      <c r="F3" s="3"/>
      <c r="G3" s="3"/>
      <c r="H3" s="3"/>
      <c r="I3" s="3"/>
      <c r="J3" s="3"/>
      <c r="K3" s="3"/>
      <c r="L3" s="3"/>
      <c r="M3" s="3"/>
      <c r="N3" s="3"/>
      <c r="O3" s="3"/>
      <c r="P3" s="3"/>
    </row>
    <row r="4" spans="1:16" ht="48" customHeight="1">
      <c r="A4" s="3"/>
      <c r="B4" s="62" t="s">
        <v>104</v>
      </c>
      <c r="C4" s="157">
        <v>6</v>
      </c>
      <c r="D4" s="61" t="s">
        <v>105</v>
      </c>
      <c r="E4" s="3"/>
      <c r="F4" s="3"/>
      <c r="G4" s="3"/>
      <c r="H4" s="3"/>
      <c r="I4" s="3"/>
      <c r="J4" s="3"/>
      <c r="K4" s="3"/>
      <c r="L4" s="3"/>
      <c r="M4" s="3"/>
      <c r="N4" s="3"/>
      <c r="O4" s="3"/>
      <c r="P4" s="3"/>
    </row>
    <row r="5" spans="1:16" ht="48" customHeight="1">
      <c r="A5" s="3"/>
      <c r="B5" s="63" t="s">
        <v>106</v>
      </c>
      <c r="C5" s="157">
        <v>2</v>
      </c>
      <c r="D5" s="61" t="s">
        <v>107</v>
      </c>
      <c r="E5" s="3"/>
      <c r="F5" s="3"/>
      <c r="G5" s="3"/>
      <c r="H5" s="3"/>
      <c r="I5" s="3"/>
      <c r="J5" s="3"/>
      <c r="K5" s="3"/>
      <c r="L5" s="3"/>
      <c r="M5" s="3"/>
      <c r="N5" s="3"/>
      <c r="O5" s="3"/>
      <c r="P5" s="3"/>
    </row>
    <row r="6" spans="1:16" ht="48" customHeight="1" thickBot="1">
      <c r="A6" s="3"/>
      <c r="B6" s="64" t="s">
        <v>108</v>
      </c>
      <c r="C6" s="65" t="s">
        <v>109</v>
      </c>
      <c r="D6" s="66" t="s">
        <v>110</v>
      </c>
      <c r="E6" s="3"/>
      <c r="F6" s="8"/>
      <c r="G6" s="9"/>
      <c r="H6" s="10"/>
      <c r="I6" s="3"/>
      <c r="J6" s="3"/>
      <c r="K6" s="3"/>
      <c r="L6" s="3"/>
      <c r="M6" s="3"/>
      <c r="N6" s="3"/>
      <c r="O6" s="3"/>
      <c r="P6" s="3"/>
    </row>
    <row r="7" spans="1:16">
      <c r="A7" s="3"/>
      <c r="B7" s="3"/>
      <c r="C7" s="3"/>
      <c r="D7" s="3"/>
      <c r="E7" s="3"/>
      <c r="F7" s="3"/>
      <c r="G7" s="3"/>
      <c r="H7" s="3"/>
      <c r="I7" s="3"/>
      <c r="J7" s="3"/>
      <c r="K7" s="3"/>
      <c r="L7" s="3"/>
      <c r="M7" s="3"/>
      <c r="N7" s="3"/>
      <c r="O7" s="3"/>
      <c r="P7" s="3"/>
    </row>
    <row r="8" spans="1:16">
      <c r="A8" s="3"/>
      <c r="B8" s="3"/>
      <c r="C8" s="3"/>
      <c r="D8" s="3"/>
      <c r="E8" s="3"/>
      <c r="F8" s="3"/>
      <c r="G8" s="3"/>
      <c r="H8" s="3"/>
      <c r="I8" s="3"/>
      <c r="J8" s="3"/>
      <c r="K8" s="3"/>
      <c r="L8" s="3"/>
      <c r="M8" s="3"/>
      <c r="N8" s="3"/>
      <c r="O8" s="3"/>
      <c r="P8" s="3"/>
    </row>
    <row r="9" spans="1:16" ht="10.8" thickBot="1">
      <c r="A9" s="3"/>
      <c r="B9" s="218" t="s">
        <v>111</v>
      </c>
      <c r="C9" s="218"/>
      <c r="D9" s="218"/>
      <c r="E9" s="3"/>
      <c r="F9" s="3"/>
      <c r="G9" s="3"/>
      <c r="H9" s="3"/>
      <c r="I9" s="3"/>
      <c r="J9" s="3"/>
      <c r="K9" s="3"/>
      <c r="L9" s="3"/>
      <c r="M9" s="3"/>
      <c r="N9" s="3"/>
      <c r="O9" s="3"/>
      <c r="P9" s="3"/>
    </row>
    <row r="10" spans="1:16" ht="31.2" thickTop="1">
      <c r="A10" s="3"/>
      <c r="B10" s="54" t="s">
        <v>112</v>
      </c>
      <c r="C10" s="55" t="s">
        <v>113</v>
      </c>
      <c r="D10" s="56" t="s">
        <v>100</v>
      </c>
      <c r="E10" s="3"/>
      <c r="F10" s="53" t="s">
        <v>114</v>
      </c>
      <c r="G10" s="3"/>
      <c r="H10" s="3"/>
      <c r="I10" s="3"/>
      <c r="J10" s="3"/>
      <c r="K10" s="3"/>
      <c r="L10" s="3"/>
      <c r="M10" s="3"/>
      <c r="N10" s="3"/>
      <c r="O10" s="3"/>
      <c r="P10" s="3"/>
    </row>
    <row r="11" spans="1:16" ht="39" customHeight="1">
      <c r="A11" s="3"/>
      <c r="B11" s="11" t="s">
        <v>115</v>
      </c>
      <c r="C11" s="156">
        <v>4</v>
      </c>
      <c r="D11" s="5" t="s">
        <v>116</v>
      </c>
      <c r="E11" s="3"/>
      <c r="F11" s="3"/>
      <c r="G11" s="3"/>
      <c r="H11" s="3"/>
      <c r="I11" s="3"/>
      <c r="J11" s="3"/>
      <c r="K11" s="3"/>
      <c r="L11" s="3"/>
      <c r="M11" s="3"/>
      <c r="N11" s="3"/>
      <c r="O11" s="3"/>
      <c r="P11" s="3"/>
    </row>
    <row r="12" spans="1:16" ht="37.5" customHeight="1">
      <c r="A12" s="3"/>
      <c r="B12" s="11" t="s">
        <v>117</v>
      </c>
      <c r="C12" s="156">
        <v>3</v>
      </c>
      <c r="D12" s="5" t="s">
        <v>118</v>
      </c>
      <c r="E12" s="3"/>
      <c r="F12" s="3"/>
      <c r="G12" s="3"/>
      <c r="H12" s="3"/>
      <c r="I12" s="3"/>
      <c r="J12" s="3"/>
      <c r="K12" s="3"/>
      <c r="L12" s="3"/>
      <c r="M12" s="3"/>
      <c r="N12" s="3"/>
      <c r="O12" s="3"/>
      <c r="P12" s="3"/>
    </row>
    <row r="13" spans="1:16" ht="35.25" customHeight="1">
      <c r="A13" s="3"/>
      <c r="B13" s="11" t="s">
        <v>119</v>
      </c>
      <c r="C13" s="156">
        <v>2</v>
      </c>
      <c r="D13" s="5" t="s">
        <v>120</v>
      </c>
      <c r="E13" s="3"/>
      <c r="F13" s="3"/>
      <c r="G13" s="3"/>
      <c r="H13" s="3"/>
      <c r="I13" s="3"/>
      <c r="J13" s="3"/>
      <c r="K13" s="3"/>
      <c r="L13" s="3"/>
      <c r="M13" s="3"/>
      <c r="N13" s="3"/>
      <c r="O13" s="3"/>
      <c r="P13" s="3"/>
    </row>
    <row r="14" spans="1:16" ht="47.25" customHeight="1" thickBot="1">
      <c r="A14" s="3"/>
      <c r="B14" s="12" t="s">
        <v>121</v>
      </c>
      <c r="C14" s="6">
        <v>1</v>
      </c>
      <c r="D14" s="7" t="s">
        <v>122</v>
      </c>
      <c r="E14" s="3"/>
      <c r="F14" s="3"/>
      <c r="G14" s="3"/>
      <c r="H14" s="3"/>
      <c r="I14" s="3"/>
      <c r="J14" s="3"/>
      <c r="K14" s="3"/>
      <c r="L14" s="3"/>
      <c r="M14" s="3"/>
      <c r="N14" s="3"/>
      <c r="O14" s="3"/>
      <c r="P14" s="3"/>
    </row>
    <row r="15" spans="1:16" ht="23.25" hidden="1" customHeight="1" thickTop="1">
      <c r="A15" s="3"/>
      <c r="B15" s="13"/>
      <c r="C15" s="13"/>
      <c r="D15" s="13"/>
      <c r="E15" s="3"/>
      <c r="F15" s="9"/>
      <c r="G15" s="9"/>
      <c r="H15" s="10"/>
      <c r="I15" s="10"/>
      <c r="J15" s="3"/>
      <c r="K15" s="3"/>
      <c r="L15" s="3"/>
      <c r="M15" s="3"/>
      <c r="N15" s="3"/>
      <c r="O15" s="3"/>
      <c r="P15" s="3"/>
    </row>
    <row r="16" spans="1:16" ht="32.25" hidden="1" customHeight="1">
      <c r="A16" s="218" t="s">
        <v>123</v>
      </c>
      <c r="B16" s="218"/>
      <c r="C16" s="218"/>
      <c r="D16" s="218"/>
      <c r="E16" s="218"/>
      <c r="F16" s="218"/>
      <c r="G16" s="3"/>
      <c r="H16" s="10"/>
      <c r="I16" s="10"/>
      <c r="J16" s="3"/>
      <c r="K16" s="9"/>
      <c r="L16" s="9"/>
      <c r="M16" s="10"/>
      <c r="N16" s="3"/>
      <c r="O16" s="3"/>
      <c r="P16" s="3"/>
    </row>
    <row r="17" spans="1:16" ht="21.75" hidden="1" customHeight="1">
      <c r="A17" s="236" t="s">
        <v>124</v>
      </c>
      <c r="B17" s="237"/>
      <c r="C17" s="240" t="s">
        <v>125</v>
      </c>
      <c r="D17" s="241"/>
      <c r="E17" s="241"/>
      <c r="F17" s="242"/>
      <c r="G17" s="3"/>
      <c r="H17" s="10"/>
      <c r="I17" s="10"/>
      <c r="J17" s="3"/>
      <c r="K17" s="9"/>
      <c r="L17" s="9"/>
      <c r="M17" s="10"/>
      <c r="N17" s="3"/>
      <c r="O17" s="3"/>
      <c r="P17" s="3"/>
    </row>
    <row r="18" spans="1:16" ht="21.75" hidden="1" customHeight="1">
      <c r="A18" s="238"/>
      <c r="B18" s="239"/>
      <c r="C18" s="156">
        <v>4</v>
      </c>
      <c r="D18" s="157">
        <v>3</v>
      </c>
      <c r="E18" s="157">
        <v>2</v>
      </c>
      <c r="F18" s="157">
        <v>1</v>
      </c>
      <c r="G18" s="3"/>
      <c r="H18" s="10"/>
      <c r="I18" s="10"/>
      <c r="J18" s="3"/>
      <c r="K18" s="9"/>
      <c r="L18" s="9"/>
      <c r="M18" s="10"/>
      <c r="N18" s="3"/>
      <c r="O18" s="3"/>
      <c r="P18" s="3"/>
    </row>
    <row r="19" spans="1:16" ht="47.25" hidden="1" customHeight="1">
      <c r="A19" s="232" t="s">
        <v>126</v>
      </c>
      <c r="B19" s="157">
        <v>10</v>
      </c>
      <c r="C19" s="14" t="s">
        <v>127</v>
      </c>
      <c r="D19" s="14" t="s">
        <v>128</v>
      </c>
      <c r="E19" s="14" t="s">
        <v>129</v>
      </c>
      <c r="F19" s="14" t="s">
        <v>130</v>
      </c>
      <c r="G19" s="3"/>
      <c r="H19" s="10"/>
      <c r="I19" s="10"/>
      <c r="J19" s="3"/>
      <c r="K19" s="9"/>
      <c r="L19" s="9"/>
      <c r="M19" s="10"/>
      <c r="N19" s="3"/>
      <c r="O19" s="3"/>
      <c r="P19" s="3"/>
    </row>
    <row r="20" spans="1:16" ht="47.25" hidden="1" customHeight="1">
      <c r="A20" s="233"/>
      <c r="B20" s="157">
        <v>6</v>
      </c>
      <c r="C20" s="15" t="s">
        <v>131</v>
      </c>
      <c r="D20" s="14" t="s">
        <v>132</v>
      </c>
      <c r="E20" s="14" t="s">
        <v>133</v>
      </c>
      <c r="F20" s="16" t="s">
        <v>134</v>
      </c>
      <c r="G20" s="3"/>
      <c r="H20" s="10"/>
      <c r="I20" s="10"/>
      <c r="J20" s="3"/>
      <c r="K20" s="9"/>
      <c r="L20" s="9"/>
      <c r="M20" s="10"/>
      <c r="N20" s="3"/>
      <c r="O20" s="3"/>
      <c r="P20" s="3"/>
    </row>
    <row r="21" spans="1:16" ht="47.25" hidden="1" customHeight="1">
      <c r="A21" s="234"/>
      <c r="B21" s="157">
        <v>2</v>
      </c>
      <c r="C21" s="17" t="s">
        <v>135</v>
      </c>
      <c r="D21" s="16" t="s">
        <v>134</v>
      </c>
      <c r="E21" s="157" t="s">
        <v>136</v>
      </c>
      <c r="F21" s="157" t="s">
        <v>137</v>
      </c>
      <c r="G21" s="3"/>
      <c r="H21" s="10"/>
      <c r="I21" s="10"/>
      <c r="J21" s="3"/>
      <c r="K21" s="9"/>
      <c r="L21" s="9"/>
      <c r="M21" s="10"/>
      <c r="N21" s="3"/>
      <c r="O21" s="3"/>
      <c r="P21" s="3"/>
    </row>
    <row r="22" spans="1:16" ht="6" hidden="1" customHeight="1">
      <c r="A22" s="13"/>
      <c r="B22" s="3"/>
      <c r="C22" s="3"/>
      <c r="D22" s="3"/>
      <c r="E22" s="3"/>
      <c r="F22" s="9"/>
      <c r="G22" s="3"/>
      <c r="H22" s="10"/>
      <c r="I22" s="10"/>
      <c r="J22" s="3"/>
      <c r="K22" s="9"/>
      <c r="L22" s="9"/>
      <c r="M22" s="10"/>
      <c r="N22" s="3"/>
      <c r="O22" s="3"/>
      <c r="P22" s="3"/>
    </row>
    <row r="23" spans="1:16" ht="27.75" hidden="1" customHeight="1" thickBot="1">
      <c r="A23" s="13"/>
      <c r="B23" s="218" t="s">
        <v>138</v>
      </c>
      <c r="C23" s="218"/>
      <c r="D23" s="218"/>
      <c r="E23" s="3"/>
      <c r="F23" s="9"/>
      <c r="G23" s="3"/>
      <c r="H23" s="10"/>
      <c r="I23" s="10"/>
      <c r="J23" s="3"/>
      <c r="K23" s="9"/>
      <c r="L23" s="9"/>
      <c r="M23" s="10"/>
      <c r="N23" s="3"/>
      <c r="O23" s="3"/>
      <c r="P23" s="3"/>
    </row>
    <row r="24" spans="1:16" ht="23.25" hidden="1" customHeight="1">
      <c r="A24" s="13"/>
      <c r="B24" s="57" t="s">
        <v>124</v>
      </c>
      <c r="C24" s="58" t="s">
        <v>139</v>
      </c>
      <c r="D24" s="59" t="s">
        <v>100</v>
      </c>
      <c r="E24" s="3"/>
      <c r="F24" s="9"/>
      <c r="G24" s="3"/>
      <c r="H24" s="10"/>
      <c r="I24" s="10"/>
      <c r="J24" s="3"/>
      <c r="K24" s="9"/>
      <c r="L24" s="9"/>
      <c r="M24" s="10"/>
      <c r="N24" s="3"/>
      <c r="O24" s="3"/>
      <c r="P24" s="3"/>
    </row>
    <row r="25" spans="1:16" ht="47.25" hidden="1" customHeight="1">
      <c r="A25" s="13"/>
      <c r="B25" s="67" t="s">
        <v>140</v>
      </c>
      <c r="C25" s="31" t="s">
        <v>141</v>
      </c>
      <c r="D25" s="72" t="s">
        <v>142</v>
      </c>
      <c r="E25" s="3"/>
      <c r="F25" s="9"/>
      <c r="G25" s="3"/>
      <c r="H25" s="10"/>
      <c r="I25" s="10"/>
      <c r="J25" s="3"/>
      <c r="K25" s="9"/>
      <c r="L25" s="9"/>
      <c r="M25" s="10"/>
      <c r="N25" s="3"/>
      <c r="O25" s="3"/>
      <c r="P25" s="3"/>
    </row>
    <row r="26" spans="1:16" ht="47.25" hidden="1" customHeight="1">
      <c r="A26" s="13"/>
      <c r="B26" s="68" t="s">
        <v>104</v>
      </c>
      <c r="C26" s="32" t="s">
        <v>143</v>
      </c>
      <c r="D26" s="73" t="s">
        <v>144</v>
      </c>
      <c r="E26" s="3"/>
      <c r="F26" s="9"/>
      <c r="G26" s="3"/>
      <c r="H26" s="10"/>
      <c r="I26" s="10"/>
      <c r="J26" s="3"/>
      <c r="K26" s="9"/>
      <c r="L26" s="9"/>
      <c r="M26" s="10"/>
      <c r="N26" s="3"/>
      <c r="O26" s="3"/>
      <c r="P26" s="3"/>
    </row>
    <row r="27" spans="1:16" ht="47.25" hidden="1" customHeight="1">
      <c r="A27" s="13"/>
      <c r="B27" s="69" t="s">
        <v>106</v>
      </c>
      <c r="C27" s="33" t="s">
        <v>145</v>
      </c>
      <c r="D27" s="74" t="s">
        <v>146</v>
      </c>
      <c r="E27" s="3"/>
      <c r="F27" s="9"/>
      <c r="G27" s="3"/>
      <c r="H27" s="10"/>
      <c r="I27" s="10"/>
      <c r="J27" s="3"/>
      <c r="K27" s="9"/>
      <c r="L27" s="9"/>
      <c r="M27" s="10"/>
      <c r="N27" s="3"/>
      <c r="O27" s="3"/>
      <c r="P27" s="3"/>
    </row>
    <row r="28" spans="1:16" ht="47.25" hidden="1" customHeight="1" thickBot="1">
      <c r="A28" s="13"/>
      <c r="B28" s="70" t="s">
        <v>108</v>
      </c>
      <c r="C28" s="71" t="s">
        <v>147</v>
      </c>
      <c r="D28" s="75" t="s">
        <v>148</v>
      </c>
      <c r="E28" s="3"/>
      <c r="F28" s="9"/>
      <c r="G28" s="3"/>
      <c r="H28" s="10"/>
      <c r="I28" s="10"/>
      <c r="J28" s="3"/>
      <c r="K28" s="9"/>
      <c r="L28" s="9"/>
      <c r="M28" s="10"/>
      <c r="N28" s="3"/>
      <c r="O28" s="3"/>
      <c r="P28" s="3"/>
    </row>
    <row r="29" spans="1:16" ht="10.8" thickTop="1">
      <c r="A29" s="13"/>
      <c r="B29" s="13"/>
      <c r="C29" s="13"/>
      <c r="D29" s="13"/>
      <c r="E29" s="3"/>
      <c r="F29" s="9"/>
      <c r="G29" s="3"/>
      <c r="H29" s="10"/>
      <c r="I29" s="10"/>
      <c r="J29" s="3"/>
      <c r="K29" s="9"/>
      <c r="L29" s="9"/>
      <c r="M29" s="10"/>
      <c r="N29" s="3"/>
      <c r="O29" s="3"/>
      <c r="P29" s="3"/>
    </row>
    <row r="30" spans="1:16">
      <c r="A30" s="3"/>
      <c r="B30" s="3"/>
      <c r="C30" s="3"/>
      <c r="D30" s="3"/>
      <c r="E30" s="3"/>
      <c r="F30" s="3"/>
      <c r="G30" s="3"/>
      <c r="H30" s="3"/>
      <c r="I30" s="3"/>
      <c r="J30" s="3"/>
      <c r="K30" s="3"/>
      <c r="L30" s="3"/>
      <c r="M30" s="3"/>
      <c r="N30" s="3"/>
      <c r="O30" s="3"/>
      <c r="P30" s="3"/>
    </row>
    <row r="31" spans="1:16">
      <c r="A31" s="3"/>
      <c r="B31" s="218" t="s">
        <v>149</v>
      </c>
      <c r="C31" s="218"/>
      <c r="D31" s="218"/>
      <c r="E31" s="3"/>
      <c r="F31" s="3"/>
      <c r="G31" s="3"/>
      <c r="H31" s="3"/>
      <c r="I31" s="3"/>
      <c r="J31" s="3"/>
      <c r="K31" s="3"/>
      <c r="L31" s="3"/>
      <c r="M31" s="3"/>
      <c r="N31" s="3"/>
      <c r="O31" s="3"/>
      <c r="P31" s="3"/>
    </row>
    <row r="32" spans="1:16">
      <c r="A32" s="3"/>
      <c r="B32" s="229" t="s">
        <v>150</v>
      </c>
      <c r="C32" s="229" t="s">
        <v>151</v>
      </c>
      <c r="D32" s="159" t="s">
        <v>100</v>
      </c>
      <c r="E32" s="3"/>
      <c r="F32" s="3"/>
      <c r="G32" s="3"/>
      <c r="H32" s="3"/>
      <c r="I32" s="3"/>
      <c r="J32" s="3"/>
      <c r="K32" s="3"/>
      <c r="L32" s="3"/>
      <c r="M32" s="3"/>
      <c r="N32" s="3"/>
      <c r="O32" s="3"/>
      <c r="P32" s="3"/>
    </row>
    <row r="33" spans="1:16">
      <c r="A33" s="3"/>
      <c r="B33" s="229"/>
      <c r="C33" s="229"/>
      <c r="D33" s="159" t="s">
        <v>152</v>
      </c>
      <c r="E33" s="3"/>
      <c r="F33" s="3"/>
      <c r="G33" s="3"/>
      <c r="H33" s="3"/>
      <c r="I33" s="3"/>
      <c r="J33" s="3"/>
      <c r="K33" s="3"/>
      <c r="L33" s="3"/>
      <c r="M33" s="3"/>
      <c r="N33" s="3"/>
      <c r="O33" s="3"/>
      <c r="P33" s="3"/>
    </row>
    <row r="34" spans="1:16">
      <c r="A34" s="3"/>
      <c r="B34" s="18" t="s">
        <v>153</v>
      </c>
      <c r="C34" s="157">
        <v>100</v>
      </c>
      <c r="D34" s="19" t="s">
        <v>154</v>
      </c>
      <c r="E34" s="3"/>
      <c r="F34" s="3"/>
      <c r="G34" s="3"/>
      <c r="H34" s="3"/>
      <c r="I34" s="3"/>
      <c r="J34" s="3"/>
      <c r="K34" s="3"/>
      <c r="L34" s="3"/>
      <c r="M34" s="3"/>
      <c r="N34" s="3"/>
      <c r="O34" s="3"/>
      <c r="P34" s="3"/>
    </row>
    <row r="35" spans="1:16" ht="20.399999999999999">
      <c r="A35" s="3"/>
      <c r="B35" s="18" t="s">
        <v>155</v>
      </c>
      <c r="C35" s="157">
        <v>60</v>
      </c>
      <c r="D35" s="19" t="s">
        <v>156</v>
      </c>
      <c r="E35" s="3"/>
      <c r="F35" s="3"/>
      <c r="G35" s="3"/>
      <c r="H35" s="3"/>
      <c r="I35" s="3"/>
      <c r="J35" s="3"/>
      <c r="K35" s="3"/>
      <c r="L35" s="3"/>
      <c r="M35" s="3"/>
      <c r="N35" s="3"/>
      <c r="O35" s="3"/>
      <c r="P35" s="3"/>
    </row>
    <row r="36" spans="1:16">
      <c r="A36" s="3"/>
      <c r="B36" s="18" t="s">
        <v>157</v>
      </c>
      <c r="C36" s="157">
        <v>25</v>
      </c>
      <c r="D36" s="19" t="s">
        <v>158</v>
      </c>
      <c r="E36" s="3"/>
      <c r="F36" s="3"/>
      <c r="G36" s="3"/>
      <c r="H36" s="3"/>
      <c r="I36" s="3"/>
      <c r="J36" s="3"/>
      <c r="K36" s="3"/>
      <c r="L36" s="3"/>
      <c r="M36" s="3"/>
      <c r="N36" s="3"/>
      <c r="O36" s="3"/>
      <c r="P36" s="3"/>
    </row>
    <row r="37" spans="1:16">
      <c r="A37" s="3"/>
      <c r="B37" s="18" t="s">
        <v>159</v>
      </c>
      <c r="C37" s="157">
        <v>10</v>
      </c>
      <c r="D37" s="19" t="s">
        <v>160</v>
      </c>
      <c r="E37" s="3"/>
      <c r="F37" s="3"/>
      <c r="G37" s="3"/>
      <c r="H37" s="3"/>
      <c r="I37" s="3"/>
      <c r="J37" s="3"/>
      <c r="K37" s="3"/>
      <c r="L37" s="3"/>
      <c r="M37" s="3"/>
      <c r="N37" s="3"/>
      <c r="O37" s="3"/>
      <c r="P37" s="3"/>
    </row>
    <row r="38" spans="1:16">
      <c r="A38" s="3"/>
      <c r="B38" s="8"/>
      <c r="C38" s="9"/>
      <c r="D38" s="10"/>
      <c r="E38" s="3"/>
      <c r="F38" s="3"/>
      <c r="G38" s="3"/>
      <c r="H38" s="3"/>
      <c r="I38" s="3"/>
      <c r="J38" s="3"/>
      <c r="K38" s="3"/>
      <c r="L38" s="3"/>
      <c r="M38" s="3"/>
      <c r="N38" s="3"/>
      <c r="O38" s="3"/>
      <c r="P38" s="3"/>
    </row>
    <row r="39" spans="1:16">
      <c r="A39" s="3"/>
      <c r="B39" s="218" t="s">
        <v>161</v>
      </c>
      <c r="C39" s="218"/>
      <c r="D39" s="218"/>
      <c r="E39" s="218"/>
      <c r="F39" s="218"/>
      <c r="G39" s="218"/>
      <c r="H39" s="3"/>
      <c r="I39" s="3"/>
      <c r="J39" s="3"/>
      <c r="K39" s="3"/>
      <c r="L39" s="3"/>
      <c r="M39" s="3"/>
      <c r="N39" s="3"/>
      <c r="O39" s="3"/>
      <c r="P39" s="3"/>
    </row>
    <row r="40" spans="1:16">
      <c r="B40" s="229" t="s">
        <v>162</v>
      </c>
      <c r="C40" s="229"/>
      <c r="D40" s="230" t="s">
        <v>163</v>
      </c>
      <c r="E40" s="230"/>
      <c r="F40" s="230"/>
      <c r="G40" s="230"/>
      <c r="H40" s="3"/>
      <c r="I40" s="3"/>
      <c r="J40" s="3"/>
      <c r="K40" s="3"/>
      <c r="L40" s="3"/>
      <c r="M40" s="3"/>
      <c r="N40" s="3"/>
      <c r="O40" s="3"/>
      <c r="P40" s="3"/>
    </row>
    <row r="41" spans="1:16">
      <c r="A41" s="3"/>
      <c r="B41" s="229"/>
      <c r="C41" s="229"/>
      <c r="D41" s="19" t="s">
        <v>164</v>
      </c>
      <c r="E41" s="20" t="s">
        <v>165</v>
      </c>
      <c r="F41" s="21" t="s">
        <v>166</v>
      </c>
      <c r="G41" s="21" t="s">
        <v>167</v>
      </c>
      <c r="H41" s="3"/>
      <c r="I41" s="3"/>
      <c r="J41" s="3"/>
      <c r="K41" s="3"/>
      <c r="L41" s="3"/>
      <c r="M41" s="3"/>
      <c r="N41" s="3"/>
      <c r="O41" s="3"/>
      <c r="P41" s="3"/>
    </row>
    <row r="42" spans="1:16" ht="24.75" customHeight="1">
      <c r="A42" s="3"/>
      <c r="B42" s="220" t="s">
        <v>168</v>
      </c>
      <c r="C42" s="157">
        <v>100</v>
      </c>
      <c r="D42" s="22" t="s">
        <v>169</v>
      </c>
      <c r="E42" s="23" t="s">
        <v>170</v>
      </c>
      <c r="F42" s="23" t="s">
        <v>171</v>
      </c>
      <c r="G42" s="24" t="s">
        <v>172</v>
      </c>
      <c r="H42" s="3"/>
      <c r="I42" s="3"/>
      <c r="J42" s="3"/>
      <c r="K42" s="3"/>
      <c r="L42" s="3"/>
      <c r="M42" s="3"/>
      <c r="N42" s="3"/>
      <c r="O42" s="3"/>
      <c r="P42" s="3"/>
    </row>
    <row r="43" spans="1:16" ht="10.5" customHeight="1">
      <c r="A43" s="3"/>
      <c r="B43" s="220"/>
      <c r="C43" s="221">
        <v>60</v>
      </c>
      <c r="D43" s="223" t="s">
        <v>173</v>
      </c>
      <c r="E43" s="223" t="s">
        <v>174</v>
      </c>
      <c r="F43" s="226" t="s">
        <v>175</v>
      </c>
      <c r="G43" s="24" t="s">
        <v>176</v>
      </c>
      <c r="H43" s="3"/>
      <c r="I43" s="3"/>
      <c r="J43" s="3"/>
      <c r="K43" s="3"/>
      <c r="L43" s="3"/>
      <c r="M43" s="3"/>
      <c r="N43" s="3"/>
      <c r="O43" s="3"/>
      <c r="P43" s="3"/>
    </row>
    <row r="44" spans="1:16">
      <c r="A44" s="3"/>
      <c r="B44" s="220"/>
      <c r="C44" s="222"/>
      <c r="D44" s="224"/>
      <c r="E44" s="224"/>
      <c r="F44" s="227"/>
      <c r="G44" s="25" t="s">
        <v>177</v>
      </c>
      <c r="H44" s="3"/>
      <c r="I44" s="3"/>
      <c r="J44" s="3"/>
      <c r="K44" s="3"/>
      <c r="L44" s="3"/>
      <c r="M44" s="3"/>
      <c r="N44" s="3"/>
      <c r="O44" s="3"/>
      <c r="P44" s="3"/>
    </row>
    <row r="45" spans="1:16" ht="21.75" customHeight="1">
      <c r="A45" s="3"/>
      <c r="B45" s="220"/>
      <c r="C45" s="157">
        <v>25</v>
      </c>
      <c r="D45" s="22" t="s">
        <v>178</v>
      </c>
      <c r="E45" s="26" t="s">
        <v>179</v>
      </c>
      <c r="F45" s="26" t="s">
        <v>180</v>
      </c>
      <c r="G45" s="158" t="s">
        <v>181</v>
      </c>
      <c r="H45" s="3"/>
      <c r="I45" s="3"/>
      <c r="J45" s="3"/>
      <c r="K45" s="3"/>
      <c r="L45" s="3"/>
      <c r="M45" s="3"/>
      <c r="N45" s="3"/>
      <c r="O45" s="3"/>
      <c r="P45" s="3"/>
    </row>
    <row r="46" spans="1:16">
      <c r="A46" s="3"/>
      <c r="B46" s="220"/>
      <c r="C46" s="225">
        <v>10</v>
      </c>
      <c r="D46" s="226" t="s">
        <v>182</v>
      </c>
      <c r="E46" s="26" t="s">
        <v>183</v>
      </c>
      <c r="F46" s="228" t="s">
        <v>184</v>
      </c>
      <c r="G46" s="231" t="s">
        <v>185</v>
      </c>
      <c r="H46" s="3"/>
      <c r="I46" s="3"/>
      <c r="J46" s="3"/>
      <c r="K46" s="3"/>
      <c r="L46" s="3"/>
      <c r="M46" s="3"/>
      <c r="N46" s="3"/>
      <c r="O46" s="3"/>
      <c r="P46" s="3"/>
    </row>
    <row r="47" spans="1:16" ht="10.5" customHeight="1">
      <c r="A47" s="3"/>
      <c r="B47" s="220"/>
      <c r="C47" s="225"/>
      <c r="D47" s="227"/>
      <c r="E47" s="27" t="s">
        <v>186</v>
      </c>
      <c r="F47" s="228"/>
      <c r="G47" s="231"/>
      <c r="H47" s="3"/>
      <c r="I47" s="3"/>
      <c r="J47" s="3"/>
      <c r="K47" s="3"/>
      <c r="L47" s="3"/>
      <c r="M47" s="3"/>
      <c r="N47" s="3"/>
      <c r="O47" s="3"/>
      <c r="P47" s="3"/>
    </row>
    <row r="48" spans="1:16" ht="10.5" customHeight="1">
      <c r="A48" s="3"/>
      <c r="B48" s="13"/>
      <c r="C48" s="9"/>
      <c r="D48" s="28"/>
      <c r="E48" s="29"/>
      <c r="F48" s="30"/>
      <c r="G48" s="28"/>
      <c r="H48" s="3"/>
      <c r="I48" s="3"/>
      <c r="J48" s="3"/>
      <c r="K48" s="3"/>
      <c r="L48" s="3"/>
      <c r="M48" s="3"/>
      <c r="N48" s="3"/>
      <c r="O48" s="3"/>
      <c r="P48" s="3"/>
    </row>
    <row r="49" spans="1:16" ht="10.5" customHeight="1">
      <c r="A49" s="3"/>
      <c r="B49" s="13"/>
      <c r="C49" s="9"/>
      <c r="D49" s="28"/>
      <c r="E49" s="29"/>
      <c r="F49" s="30"/>
      <c r="G49" s="28"/>
      <c r="H49" s="3"/>
      <c r="I49" s="3"/>
      <c r="J49" s="3"/>
      <c r="K49" s="3"/>
      <c r="L49" s="3"/>
      <c r="M49" s="3"/>
      <c r="N49" s="3"/>
      <c r="O49" s="3"/>
      <c r="P49" s="3"/>
    </row>
    <row r="50" spans="1:16" ht="10.5" customHeight="1">
      <c r="A50" s="3"/>
      <c r="B50" s="3"/>
      <c r="C50" s="3"/>
      <c r="D50" s="3"/>
      <c r="E50" s="3"/>
      <c r="F50" s="30"/>
      <c r="G50" s="28"/>
      <c r="H50" s="3"/>
      <c r="I50" s="3"/>
      <c r="J50" s="3"/>
      <c r="K50" s="3"/>
      <c r="L50" s="3"/>
      <c r="M50" s="3"/>
      <c r="N50" s="3"/>
      <c r="O50" s="3"/>
      <c r="P50" s="3"/>
    </row>
    <row r="51" spans="1:16" ht="10.5" customHeight="1">
      <c r="A51" s="3"/>
      <c r="B51" s="218" t="s">
        <v>187</v>
      </c>
      <c r="C51" s="218"/>
      <c r="D51" s="218"/>
      <c r="E51" s="3"/>
      <c r="F51" s="30"/>
      <c r="G51" s="28"/>
      <c r="H51" s="3"/>
      <c r="I51" s="3"/>
      <c r="J51" s="3"/>
      <c r="K51" s="3"/>
      <c r="L51" s="3"/>
      <c r="M51" s="3"/>
      <c r="N51" s="3"/>
      <c r="O51" s="3"/>
      <c r="P51" s="3"/>
    </row>
    <row r="52" spans="1:16" ht="19.5" customHeight="1">
      <c r="A52" s="3"/>
      <c r="B52" s="76" t="s">
        <v>188</v>
      </c>
      <c r="C52" s="76" t="s">
        <v>189</v>
      </c>
      <c r="D52" s="76" t="s">
        <v>100</v>
      </c>
      <c r="E52" s="3"/>
      <c r="F52" s="30"/>
      <c r="G52" s="28"/>
      <c r="H52" s="3"/>
      <c r="I52" s="3"/>
      <c r="J52" s="3"/>
      <c r="K52" s="3"/>
      <c r="L52" s="3"/>
      <c r="M52" s="3"/>
      <c r="N52" s="3"/>
      <c r="O52" s="3"/>
      <c r="P52" s="3"/>
    </row>
    <row r="53" spans="1:16" ht="22.5" customHeight="1">
      <c r="A53" s="3"/>
      <c r="B53" s="157" t="s">
        <v>190</v>
      </c>
      <c r="C53" s="157" t="s">
        <v>191</v>
      </c>
      <c r="D53" s="19" t="s">
        <v>192</v>
      </c>
      <c r="E53" s="3"/>
      <c r="F53" s="30"/>
      <c r="G53" s="28"/>
      <c r="H53" s="3"/>
      <c r="I53" s="3"/>
      <c r="J53" s="3"/>
      <c r="K53" s="3"/>
      <c r="L53" s="3"/>
      <c r="M53" s="3"/>
      <c r="N53" s="3"/>
      <c r="O53" s="3"/>
      <c r="P53" s="3"/>
    </row>
    <row r="54" spans="1:16" ht="22.5" customHeight="1">
      <c r="A54" s="3"/>
      <c r="B54" s="157" t="s">
        <v>193</v>
      </c>
      <c r="C54" s="157" t="s">
        <v>194</v>
      </c>
      <c r="D54" s="19" t="s">
        <v>195</v>
      </c>
      <c r="E54" s="3"/>
      <c r="F54" s="30"/>
      <c r="G54" s="28"/>
      <c r="H54" s="3"/>
      <c r="I54" s="3"/>
      <c r="J54" s="3"/>
      <c r="K54" s="3"/>
      <c r="L54" s="3"/>
      <c r="M54" s="3"/>
      <c r="N54" s="3"/>
      <c r="O54" s="3"/>
      <c r="P54" s="3"/>
    </row>
    <row r="55" spans="1:16" ht="22.5" customHeight="1">
      <c r="A55" s="3"/>
      <c r="B55" s="157" t="s">
        <v>196</v>
      </c>
      <c r="C55" s="157" t="s">
        <v>197</v>
      </c>
      <c r="D55" s="19" t="s">
        <v>198</v>
      </c>
      <c r="E55" s="3"/>
      <c r="F55" s="30"/>
      <c r="G55" s="28"/>
      <c r="H55" s="3"/>
      <c r="I55" s="3"/>
      <c r="J55" s="3"/>
      <c r="K55" s="3"/>
      <c r="L55" s="3"/>
      <c r="M55" s="3"/>
      <c r="N55" s="3"/>
      <c r="O55" s="3"/>
      <c r="P55" s="3"/>
    </row>
    <row r="56" spans="1:16" ht="22.5" customHeight="1">
      <c r="A56" s="3"/>
      <c r="B56" s="157" t="s">
        <v>199</v>
      </c>
      <c r="C56" s="157">
        <v>20</v>
      </c>
      <c r="D56" s="19" t="s">
        <v>200</v>
      </c>
      <c r="E56" s="3"/>
      <c r="F56" s="3"/>
      <c r="G56" s="3"/>
      <c r="H56" s="3"/>
      <c r="I56" s="3"/>
      <c r="J56" s="3"/>
      <c r="K56" s="3"/>
      <c r="L56" s="3"/>
      <c r="M56" s="3"/>
      <c r="N56" s="3"/>
      <c r="O56" s="3"/>
      <c r="P56" s="3"/>
    </row>
    <row r="57" spans="1:16">
      <c r="A57" s="3"/>
      <c r="B57" s="9"/>
      <c r="C57" s="9"/>
      <c r="D57" s="10"/>
      <c r="E57" s="3"/>
      <c r="F57" s="3"/>
      <c r="G57" s="3"/>
      <c r="H57" s="3"/>
      <c r="I57" s="3"/>
      <c r="J57" s="3"/>
      <c r="K57" s="3"/>
      <c r="L57" s="3"/>
      <c r="M57" s="3"/>
      <c r="N57" s="3"/>
      <c r="O57" s="3"/>
      <c r="P57" s="3"/>
    </row>
    <row r="58" spans="1:16">
      <c r="A58" s="3"/>
      <c r="B58" s="3"/>
      <c r="C58" s="3"/>
      <c r="D58" s="3"/>
      <c r="E58" s="3"/>
      <c r="F58" s="3"/>
      <c r="G58" s="3"/>
      <c r="H58" s="3"/>
      <c r="I58" s="3"/>
      <c r="J58" s="3"/>
      <c r="K58" s="3"/>
      <c r="L58" s="3"/>
      <c r="M58" s="3"/>
      <c r="N58" s="3"/>
      <c r="O58" s="3"/>
      <c r="P58" s="3"/>
    </row>
    <row r="59" spans="1:16">
      <c r="A59" s="3"/>
      <c r="B59" s="3"/>
      <c r="C59" s="3"/>
      <c r="D59" s="3"/>
      <c r="E59" s="3"/>
      <c r="F59" s="3"/>
      <c r="G59" s="3"/>
      <c r="H59" s="3"/>
      <c r="I59" s="3"/>
      <c r="J59" s="3"/>
      <c r="K59" s="3"/>
      <c r="L59" s="3"/>
      <c r="M59" s="3"/>
      <c r="N59" s="3"/>
      <c r="O59" s="3"/>
      <c r="P59" s="3"/>
    </row>
    <row r="60" spans="1:16">
      <c r="A60" s="3"/>
      <c r="B60" s="3"/>
      <c r="C60" s="219" t="s">
        <v>201</v>
      </c>
      <c r="D60" s="219"/>
      <c r="E60" s="3"/>
      <c r="F60" s="3"/>
      <c r="G60" s="3"/>
      <c r="H60" s="3"/>
      <c r="I60" s="3"/>
      <c r="J60" s="3"/>
      <c r="K60" s="3"/>
      <c r="L60" s="3"/>
      <c r="M60" s="3"/>
      <c r="N60" s="3"/>
      <c r="O60" s="3"/>
      <c r="P60" s="3"/>
    </row>
    <row r="61" spans="1:16" ht="18" customHeight="1">
      <c r="A61" s="3"/>
      <c r="B61" s="3"/>
      <c r="C61" s="76" t="s">
        <v>188</v>
      </c>
      <c r="D61" s="76" t="s">
        <v>100</v>
      </c>
      <c r="E61" s="3"/>
      <c r="F61" s="3"/>
      <c r="G61" s="3"/>
      <c r="H61" s="3"/>
      <c r="I61" s="3"/>
      <c r="J61" s="3"/>
      <c r="K61" s="3"/>
      <c r="L61" s="3"/>
      <c r="M61" s="3"/>
      <c r="N61" s="3"/>
      <c r="O61" s="3"/>
      <c r="P61" s="3"/>
    </row>
    <row r="62" spans="1:16">
      <c r="A62" s="3"/>
      <c r="B62" s="3"/>
      <c r="C62" s="157" t="s">
        <v>190</v>
      </c>
      <c r="D62" s="19" t="s">
        <v>202</v>
      </c>
      <c r="E62" s="3"/>
      <c r="F62" s="3"/>
      <c r="G62" s="3"/>
      <c r="H62" s="3"/>
      <c r="I62" s="3"/>
      <c r="J62" s="3"/>
      <c r="K62" s="3"/>
      <c r="L62" s="3"/>
      <c r="M62" s="3"/>
      <c r="N62" s="3"/>
      <c r="O62" s="3"/>
      <c r="P62" s="3"/>
    </row>
    <row r="63" spans="1:16">
      <c r="A63" s="3"/>
      <c r="B63" s="3"/>
      <c r="C63" s="157" t="s">
        <v>193</v>
      </c>
      <c r="D63" s="19" t="s">
        <v>203</v>
      </c>
      <c r="E63" s="3"/>
      <c r="F63" s="3"/>
      <c r="G63" s="3"/>
      <c r="H63" s="3"/>
      <c r="I63" s="3"/>
      <c r="J63" s="3"/>
      <c r="K63" s="3"/>
      <c r="L63" s="3"/>
      <c r="M63" s="3"/>
      <c r="N63" s="3"/>
      <c r="O63" s="3"/>
      <c r="P63" s="3"/>
    </row>
    <row r="64" spans="1:16">
      <c r="A64" s="3"/>
      <c r="B64" s="3"/>
      <c r="C64" s="157" t="s">
        <v>196</v>
      </c>
      <c r="D64" s="19" t="s">
        <v>204</v>
      </c>
      <c r="E64" s="3"/>
      <c r="F64" s="3"/>
      <c r="G64" s="3"/>
      <c r="H64" s="3"/>
      <c r="I64" s="3"/>
      <c r="J64" s="3"/>
      <c r="K64" s="3"/>
      <c r="L64" s="3"/>
      <c r="M64" s="3"/>
      <c r="N64" s="3"/>
      <c r="O64" s="3"/>
      <c r="P64" s="3"/>
    </row>
    <row r="65" spans="1:16">
      <c r="A65" s="3"/>
      <c r="B65" s="3"/>
      <c r="C65" s="157" t="s">
        <v>199</v>
      </c>
      <c r="D65" s="19" t="s">
        <v>204</v>
      </c>
      <c r="E65" s="3"/>
      <c r="F65" s="3"/>
      <c r="G65" s="3"/>
      <c r="H65" s="3"/>
      <c r="I65" s="3"/>
      <c r="J65" s="3"/>
      <c r="K65" s="3"/>
      <c r="L65" s="3"/>
      <c r="M65" s="3"/>
      <c r="N65" s="3"/>
      <c r="O65" s="3"/>
      <c r="P65" s="3"/>
    </row>
    <row r="66" spans="1:16">
      <c r="A66" s="3"/>
      <c r="B66" s="3"/>
      <c r="C66" s="3"/>
      <c r="D66" s="3"/>
      <c r="E66" s="3"/>
      <c r="F66" s="3"/>
      <c r="G66" s="3"/>
      <c r="H66" s="3"/>
      <c r="I66" s="3"/>
      <c r="J66" s="3"/>
      <c r="K66" s="3"/>
      <c r="L66" s="3"/>
      <c r="M66" s="3"/>
      <c r="N66" s="3"/>
      <c r="O66" s="3"/>
      <c r="P66" s="3"/>
    </row>
    <row r="67" spans="1:16">
      <c r="A67" s="3"/>
      <c r="B67" s="3"/>
      <c r="C67" s="3"/>
      <c r="D67" s="3"/>
      <c r="E67" s="3"/>
      <c r="F67" s="3"/>
      <c r="G67" s="3"/>
      <c r="H67" s="3"/>
      <c r="I67" s="3"/>
      <c r="J67" s="3"/>
      <c r="K67" s="3"/>
      <c r="L67" s="3"/>
      <c r="M67" s="3"/>
      <c r="N67" s="3"/>
      <c r="O67" s="3"/>
      <c r="P67" s="3"/>
    </row>
    <row r="68" spans="1:16">
      <c r="A68" s="3"/>
      <c r="B68" s="3"/>
      <c r="C68" s="3"/>
      <c r="D68" s="3"/>
      <c r="E68" s="3"/>
      <c r="F68" s="3"/>
      <c r="G68" s="3"/>
      <c r="H68" s="3"/>
      <c r="I68" s="3"/>
      <c r="J68" s="3"/>
      <c r="K68" s="3"/>
      <c r="L68" s="3"/>
      <c r="M68" s="3"/>
      <c r="N68" s="3"/>
      <c r="O68" s="3"/>
      <c r="P68" s="3"/>
    </row>
    <row r="69" spans="1:16">
      <c r="A69" s="3"/>
      <c r="B69" s="3"/>
      <c r="C69" s="3"/>
      <c r="D69" s="3"/>
      <c r="E69" s="3"/>
      <c r="F69" s="3"/>
      <c r="G69" s="3"/>
      <c r="H69" s="3"/>
      <c r="I69" s="3"/>
      <c r="J69" s="3"/>
      <c r="K69" s="3"/>
      <c r="L69" s="3"/>
      <c r="M69" s="3"/>
      <c r="N69" s="3"/>
      <c r="O69" s="3"/>
      <c r="P69" s="3"/>
    </row>
    <row r="70" spans="1:16">
      <c r="A70" s="3"/>
      <c r="B70" s="3"/>
      <c r="C70" s="3"/>
      <c r="D70" s="3"/>
      <c r="E70" s="3"/>
      <c r="F70" s="3"/>
      <c r="G70" s="3"/>
      <c r="H70" s="3"/>
      <c r="I70" s="3"/>
      <c r="J70" s="3"/>
      <c r="K70" s="3"/>
      <c r="L70" s="3"/>
      <c r="M70" s="3"/>
      <c r="N70" s="3"/>
      <c r="O70" s="3"/>
      <c r="P70" s="3"/>
    </row>
    <row r="71" spans="1:16">
      <c r="A71" s="3"/>
      <c r="B71" s="3"/>
      <c r="C71" s="3"/>
      <c r="D71" s="3"/>
      <c r="E71" s="3"/>
      <c r="F71" s="3"/>
      <c r="G71" s="3"/>
      <c r="H71" s="3"/>
      <c r="I71" s="3"/>
      <c r="J71" s="3"/>
      <c r="K71" s="3"/>
      <c r="L71" s="3"/>
      <c r="M71" s="3"/>
      <c r="N71" s="3"/>
      <c r="O71" s="3"/>
      <c r="P71" s="3"/>
    </row>
    <row r="72" spans="1:16">
      <c r="A72" s="3"/>
      <c r="B72" s="3"/>
      <c r="C72" s="3"/>
      <c r="D72" s="3"/>
      <c r="E72" s="3"/>
      <c r="F72" s="3"/>
      <c r="G72" s="3"/>
      <c r="H72" s="3"/>
      <c r="I72" s="3"/>
      <c r="J72" s="3"/>
      <c r="K72" s="3"/>
      <c r="L72" s="3"/>
      <c r="M72" s="3"/>
      <c r="N72" s="3"/>
      <c r="O72" s="3"/>
      <c r="P72" s="3"/>
    </row>
    <row r="73" spans="1:16">
      <c r="A73" s="3"/>
      <c r="B73" s="3"/>
      <c r="C73" s="3"/>
      <c r="D73" s="3"/>
      <c r="E73" s="3"/>
      <c r="F73" s="3"/>
      <c r="G73" s="3"/>
      <c r="H73" s="3"/>
      <c r="I73" s="3"/>
      <c r="J73" s="3"/>
      <c r="K73" s="3"/>
      <c r="L73" s="3"/>
      <c r="M73" s="3"/>
      <c r="N73" s="3"/>
      <c r="O73" s="3"/>
      <c r="P73" s="3"/>
    </row>
    <row r="74" spans="1:16">
      <c r="A74" s="3"/>
      <c r="B74" s="3"/>
      <c r="C74" s="3"/>
      <c r="D74" s="3"/>
      <c r="E74" s="3"/>
      <c r="F74" s="3"/>
      <c r="G74" s="3"/>
      <c r="H74" s="3"/>
      <c r="I74" s="3"/>
      <c r="J74" s="3"/>
      <c r="K74" s="3"/>
      <c r="L74" s="3"/>
      <c r="M74" s="3"/>
      <c r="N74" s="3"/>
      <c r="O74" s="3"/>
      <c r="P74" s="3"/>
    </row>
    <row r="75" spans="1:16">
      <c r="A75" s="3"/>
      <c r="B75" s="3"/>
      <c r="C75" s="3"/>
      <c r="D75" s="3"/>
      <c r="E75" s="3"/>
      <c r="F75" s="3"/>
      <c r="G75" s="3"/>
      <c r="H75" s="3"/>
      <c r="I75" s="3"/>
      <c r="J75" s="3"/>
      <c r="K75" s="3"/>
      <c r="L75" s="3"/>
      <c r="M75" s="3"/>
      <c r="N75" s="3"/>
      <c r="O75" s="3"/>
      <c r="P75" s="3"/>
    </row>
    <row r="76" spans="1:16">
      <c r="A76" s="3"/>
      <c r="B76" s="3"/>
      <c r="C76" s="3"/>
      <c r="D76" s="3"/>
      <c r="E76" s="3"/>
      <c r="F76" s="3"/>
      <c r="G76" s="3"/>
      <c r="H76" s="3"/>
      <c r="I76" s="3"/>
      <c r="J76" s="3"/>
      <c r="K76" s="3"/>
      <c r="L76" s="3"/>
      <c r="M76" s="3"/>
      <c r="N76" s="3"/>
      <c r="O76" s="3"/>
      <c r="P76" s="3"/>
    </row>
    <row r="77" spans="1:16">
      <c r="A77" s="3"/>
      <c r="B77" s="3"/>
      <c r="C77" s="3"/>
      <c r="D77" s="3"/>
      <c r="E77" s="3"/>
      <c r="F77" s="3"/>
      <c r="G77" s="3"/>
      <c r="H77" s="3"/>
      <c r="I77" s="3"/>
      <c r="J77" s="3"/>
      <c r="K77" s="3"/>
      <c r="L77" s="3"/>
      <c r="M77" s="3"/>
      <c r="N77" s="3"/>
      <c r="O77" s="3"/>
      <c r="P77" s="3"/>
    </row>
    <row r="78" spans="1:16">
      <c r="A78" s="3"/>
      <c r="B78" s="3"/>
      <c r="C78" s="3"/>
      <c r="D78" s="3"/>
      <c r="E78" s="3"/>
      <c r="F78" s="3"/>
      <c r="G78" s="3"/>
      <c r="H78" s="3"/>
      <c r="I78" s="3"/>
      <c r="J78" s="3"/>
      <c r="K78" s="3"/>
      <c r="L78" s="3"/>
      <c r="M78" s="3"/>
      <c r="N78" s="3"/>
      <c r="O78" s="3"/>
      <c r="P78" s="3"/>
    </row>
    <row r="79" spans="1:16">
      <c r="A79" s="3"/>
      <c r="B79" s="3"/>
      <c r="C79" s="3"/>
      <c r="D79" s="3"/>
      <c r="E79" s="3"/>
      <c r="F79" s="3"/>
      <c r="G79" s="3"/>
      <c r="H79" s="3"/>
      <c r="I79" s="3"/>
      <c r="J79" s="3"/>
      <c r="K79" s="3"/>
      <c r="L79" s="3"/>
      <c r="M79" s="3"/>
      <c r="N79" s="3"/>
      <c r="O79" s="3"/>
      <c r="P79" s="3"/>
    </row>
    <row r="80" spans="1:16">
      <c r="A80" s="3"/>
      <c r="B80" s="3"/>
      <c r="C80" s="3"/>
      <c r="D80" s="3"/>
      <c r="E80" s="3"/>
      <c r="F80" s="3"/>
      <c r="G80" s="3"/>
      <c r="H80" s="3"/>
      <c r="I80" s="3"/>
      <c r="J80" s="3"/>
      <c r="K80" s="3"/>
      <c r="L80" s="3"/>
      <c r="M80" s="3"/>
      <c r="N80" s="3"/>
      <c r="O80" s="3"/>
      <c r="P80" s="3"/>
    </row>
    <row r="81" spans="1:16">
      <c r="A81" s="3"/>
      <c r="B81" s="3"/>
      <c r="C81" s="3"/>
      <c r="D81" s="3"/>
      <c r="E81" s="3"/>
      <c r="F81" s="3"/>
      <c r="G81" s="3"/>
      <c r="H81" s="3"/>
      <c r="I81" s="3"/>
      <c r="J81" s="3"/>
      <c r="K81" s="3"/>
      <c r="L81" s="3"/>
      <c r="M81" s="3"/>
      <c r="N81" s="3"/>
      <c r="O81" s="3"/>
      <c r="P81" s="3"/>
    </row>
    <row r="82" spans="1:16">
      <c r="A82" s="3"/>
      <c r="B82" s="3"/>
      <c r="C82" s="3"/>
      <c r="D82" s="3"/>
      <c r="E82" s="3"/>
      <c r="F82" s="3"/>
      <c r="G82" s="3"/>
      <c r="H82" s="3"/>
      <c r="I82" s="3"/>
      <c r="J82" s="3"/>
      <c r="K82" s="3"/>
      <c r="L82" s="3"/>
      <c r="M82" s="3"/>
      <c r="N82" s="3"/>
      <c r="O82" s="3"/>
      <c r="P82" s="3"/>
    </row>
    <row r="83" spans="1:16">
      <c r="A83" s="3"/>
      <c r="B83" s="3"/>
      <c r="C83" s="3"/>
      <c r="D83" s="3"/>
      <c r="E83" s="3"/>
      <c r="F83" s="3"/>
      <c r="G83" s="3"/>
      <c r="H83" s="3"/>
      <c r="I83" s="3"/>
      <c r="J83" s="3"/>
      <c r="K83" s="3"/>
      <c r="L83" s="3"/>
      <c r="M83" s="3"/>
      <c r="N83" s="3"/>
      <c r="O83" s="3"/>
      <c r="P83" s="3"/>
    </row>
    <row r="84" spans="1:16">
      <c r="A84" s="3"/>
      <c r="B84" s="3"/>
      <c r="C84" s="3"/>
      <c r="D84" s="3"/>
      <c r="E84" s="3"/>
      <c r="F84" s="3"/>
      <c r="G84" s="3"/>
      <c r="H84" s="3"/>
      <c r="I84" s="3"/>
      <c r="J84" s="3"/>
      <c r="K84" s="3"/>
      <c r="L84" s="3"/>
      <c r="M84" s="3"/>
      <c r="N84" s="3"/>
      <c r="O84" s="3"/>
      <c r="P84" s="3"/>
    </row>
    <row r="85" spans="1:16">
      <c r="A85" s="3"/>
      <c r="B85" s="3"/>
      <c r="C85" s="3"/>
      <c r="D85" s="3"/>
      <c r="E85" s="3"/>
      <c r="F85" s="3"/>
      <c r="G85" s="3"/>
      <c r="H85" s="3"/>
      <c r="I85" s="3"/>
      <c r="J85" s="3"/>
      <c r="K85" s="3"/>
      <c r="L85" s="3"/>
      <c r="M85" s="3"/>
      <c r="N85" s="3"/>
      <c r="O85" s="3"/>
      <c r="P85" s="3"/>
    </row>
    <row r="86" spans="1:16">
      <c r="A86" s="3"/>
      <c r="B86" s="3"/>
      <c r="C86" s="3"/>
      <c r="D86" s="3"/>
      <c r="E86" s="3"/>
      <c r="F86" s="3"/>
      <c r="G86" s="3"/>
      <c r="H86" s="3"/>
      <c r="I86" s="3"/>
      <c r="J86" s="3"/>
      <c r="K86" s="3"/>
      <c r="L86" s="3"/>
      <c r="M86" s="3"/>
      <c r="N86" s="3"/>
      <c r="O86" s="3"/>
      <c r="P86" s="3"/>
    </row>
    <row r="87" spans="1:16">
      <c r="A87" s="3"/>
      <c r="B87" s="3"/>
      <c r="C87" s="3"/>
      <c r="D87" s="3"/>
      <c r="E87" s="3"/>
      <c r="F87" s="3"/>
      <c r="G87" s="3"/>
      <c r="H87" s="3"/>
      <c r="I87" s="3"/>
      <c r="J87" s="3"/>
      <c r="K87" s="3"/>
      <c r="L87" s="3"/>
      <c r="M87" s="3"/>
      <c r="N87" s="3"/>
      <c r="O87" s="3"/>
      <c r="P87" s="3"/>
    </row>
    <row r="88" spans="1:16">
      <c r="A88" s="3"/>
      <c r="B88" s="3"/>
      <c r="C88" s="3"/>
      <c r="D88" s="3"/>
      <c r="E88" s="3"/>
      <c r="F88" s="3"/>
      <c r="G88" s="3"/>
      <c r="H88" s="3"/>
      <c r="I88" s="3"/>
      <c r="J88" s="3"/>
      <c r="K88" s="3"/>
      <c r="L88" s="3"/>
      <c r="M88" s="3"/>
      <c r="N88" s="3"/>
      <c r="O88" s="3"/>
      <c r="P88" s="3"/>
    </row>
    <row r="89" spans="1:16">
      <c r="A89" s="3"/>
      <c r="B89" s="3"/>
      <c r="C89" s="3"/>
      <c r="D89" s="3"/>
      <c r="E89" s="3"/>
      <c r="F89" s="3"/>
      <c r="G89" s="3"/>
      <c r="H89" s="3"/>
      <c r="I89" s="3"/>
      <c r="J89" s="3"/>
      <c r="K89" s="3"/>
      <c r="L89" s="3"/>
      <c r="M89" s="3"/>
      <c r="N89" s="3"/>
      <c r="O89" s="3"/>
      <c r="P89" s="3"/>
    </row>
    <row r="90" spans="1:16">
      <c r="A90" s="3"/>
      <c r="B90" s="3"/>
      <c r="C90" s="3"/>
      <c r="D90" s="3"/>
      <c r="E90" s="3"/>
      <c r="F90" s="3"/>
      <c r="G90" s="3"/>
      <c r="H90" s="3"/>
      <c r="I90" s="3"/>
      <c r="J90" s="3"/>
      <c r="K90" s="3"/>
      <c r="L90" s="3"/>
      <c r="M90" s="3"/>
      <c r="N90" s="3"/>
      <c r="O90" s="3"/>
      <c r="P90" s="3"/>
    </row>
    <row r="91" spans="1:16">
      <c r="A91" s="3"/>
      <c r="B91" s="3"/>
      <c r="C91" s="3"/>
      <c r="D91" s="3"/>
      <c r="E91" s="3"/>
      <c r="F91" s="3"/>
      <c r="G91" s="3"/>
      <c r="H91" s="3"/>
      <c r="I91" s="3"/>
      <c r="J91" s="3"/>
      <c r="K91" s="3"/>
      <c r="L91" s="3"/>
      <c r="M91" s="3"/>
      <c r="N91" s="3"/>
      <c r="O91" s="3"/>
      <c r="P91" s="3"/>
    </row>
    <row r="92" spans="1:16">
      <c r="A92" s="3"/>
      <c r="B92" s="3"/>
      <c r="C92" s="3"/>
      <c r="D92" s="3"/>
      <c r="E92" s="3"/>
      <c r="F92" s="3"/>
      <c r="G92" s="3"/>
      <c r="H92" s="3"/>
      <c r="I92" s="3"/>
      <c r="J92" s="3"/>
      <c r="K92" s="3"/>
      <c r="L92" s="3"/>
      <c r="M92" s="3"/>
      <c r="N92" s="3"/>
      <c r="O92" s="3"/>
      <c r="P92" s="3"/>
    </row>
    <row r="93" spans="1:16">
      <c r="A93" s="3"/>
      <c r="B93" s="3"/>
      <c r="C93" s="3"/>
      <c r="D93" s="3"/>
      <c r="E93" s="3"/>
      <c r="F93" s="3"/>
      <c r="G93" s="3"/>
      <c r="H93" s="3"/>
      <c r="I93" s="3"/>
      <c r="J93" s="3"/>
      <c r="K93" s="3"/>
      <c r="L93" s="3"/>
      <c r="M93" s="3"/>
      <c r="N93" s="3"/>
      <c r="O93" s="3"/>
      <c r="P93" s="3"/>
    </row>
    <row r="94" spans="1:16">
      <c r="A94" s="3"/>
      <c r="B94" s="3"/>
      <c r="C94" s="3"/>
      <c r="D94" s="3"/>
      <c r="E94" s="3"/>
      <c r="F94" s="3"/>
      <c r="G94" s="3"/>
      <c r="H94" s="3"/>
      <c r="I94" s="3"/>
      <c r="J94" s="3"/>
      <c r="K94" s="3"/>
      <c r="L94" s="3"/>
      <c r="M94" s="3"/>
      <c r="N94" s="3"/>
      <c r="O94" s="3"/>
      <c r="P94" s="3"/>
    </row>
    <row r="95" spans="1:16">
      <c r="A95" s="3"/>
      <c r="B95" s="3"/>
      <c r="C95" s="3"/>
      <c r="D95" s="3"/>
      <c r="E95" s="3"/>
      <c r="F95" s="3"/>
      <c r="G95" s="3"/>
      <c r="H95" s="3"/>
      <c r="I95" s="3"/>
      <c r="J95" s="3"/>
      <c r="K95" s="3"/>
      <c r="L95" s="3"/>
      <c r="M95" s="3"/>
      <c r="N95" s="3"/>
      <c r="O95" s="3"/>
      <c r="P95" s="3"/>
    </row>
    <row r="96" spans="1:16">
      <c r="A96" s="3"/>
      <c r="B96" s="3"/>
      <c r="C96" s="3"/>
      <c r="D96" s="3"/>
      <c r="E96" s="3"/>
      <c r="F96" s="3"/>
      <c r="G96" s="3"/>
      <c r="H96" s="3"/>
      <c r="I96" s="3"/>
      <c r="J96" s="3"/>
      <c r="K96" s="3"/>
      <c r="L96" s="3"/>
      <c r="M96" s="3"/>
      <c r="N96" s="3"/>
      <c r="O96" s="3"/>
      <c r="P96" s="3"/>
    </row>
    <row r="97" spans="1:16">
      <c r="A97" s="3"/>
      <c r="B97" s="3"/>
      <c r="C97" s="3"/>
      <c r="D97" s="3"/>
      <c r="E97" s="3"/>
      <c r="F97" s="3"/>
      <c r="G97" s="3"/>
      <c r="H97" s="3"/>
      <c r="I97" s="3"/>
      <c r="J97" s="3"/>
      <c r="K97" s="3"/>
      <c r="L97" s="3"/>
      <c r="M97" s="3"/>
      <c r="N97" s="3"/>
      <c r="O97" s="3"/>
      <c r="P97" s="3"/>
    </row>
    <row r="98" spans="1:16">
      <c r="A98" s="3"/>
      <c r="B98" s="3"/>
      <c r="C98" s="3"/>
      <c r="D98" s="3"/>
      <c r="E98" s="3"/>
      <c r="F98" s="3"/>
      <c r="G98" s="3"/>
      <c r="H98" s="3"/>
      <c r="I98" s="3"/>
      <c r="J98" s="3"/>
      <c r="K98" s="3"/>
      <c r="L98" s="3"/>
      <c r="M98" s="3"/>
      <c r="N98" s="3"/>
      <c r="O98" s="3"/>
      <c r="P98" s="3"/>
    </row>
    <row r="99" spans="1:16">
      <c r="A99" s="3"/>
      <c r="B99" s="3"/>
      <c r="C99" s="3"/>
      <c r="D99" s="3"/>
      <c r="E99" s="3"/>
      <c r="F99" s="3"/>
      <c r="G99" s="3"/>
      <c r="H99" s="3"/>
      <c r="I99" s="3"/>
      <c r="J99" s="3"/>
      <c r="K99" s="3"/>
      <c r="L99" s="3"/>
      <c r="M99" s="3"/>
      <c r="N99" s="3"/>
      <c r="O99" s="3"/>
      <c r="P99" s="3"/>
    </row>
    <row r="100" spans="1:16">
      <c r="A100" s="3"/>
      <c r="B100" s="3"/>
      <c r="C100" s="3"/>
      <c r="D100" s="3"/>
      <c r="E100" s="3"/>
      <c r="F100" s="3"/>
      <c r="G100" s="3"/>
      <c r="H100" s="3"/>
      <c r="I100" s="3"/>
      <c r="J100" s="3"/>
      <c r="K100" s="3"/>
      <c r="L100" s="3"/>
      <c r="M100" s="3"/>
      <c r="N100" s="3"/>
      <c r="O100" s="3"/>
      <c r="P100" s="3"/>
    </row>
    <row r="101" spans="1:16">
      <c r="A101" s="3"/>
      <c r="B101" s="3"/>
      <c r="C101" s="3"/>
      <c r="D101" s="3"/>
      <c r="E101" s="3"/>
      <c r="F101" s="3"/>
      <c r="G101" s="3"/>
      <c r="H101" s="3"/>
      <c r="I101" s="3"/>
      <c r="J101" s="3"/>
      <c r="K101" s="3"/>
      <c r="L101" s="3"/>
      <c r="M101" s="3"/>
      <c r="N101" s="3"/>
      <c r="O101" s="3"/>
      <c r="P101" s="3"/>
    </row>
    <row r="102" spans="1:16">
      <c r="A102" s="3"/>
      <c r="B102" s="3"/>
      <c r="C102" s="3"/>
      <c r="D102" s="3"/>
      <c r="E102" s="3"/>
      <c r="F102" s="3"/>
      <c r="G102" s="3"/>
      <c r="H102" s="3"/>
      <c r="I102" s="3"/>
      <c r="J102" s="3"/>
      <c r="K102" s="3"/>
      <c r="L102" s="3"/>
      <c r="M102" s="3"/>
      <c r="N102" s="3"/>
      <c r="O102" s="3"/>
      <c r="P102" s="3"/>
    </row>
    <row r="103" spans="1:16">
      <c r="A103" s="3"/>
      <c r="B103" s="3"/>
      <c r="C103" s="3"/>
      <c r="D103" s="3"/>
      <c r="E103" s="3"/>
      <c r="F103" s="3"/>
      <c r="G103" s="3"/>
      <c r="H103" s="3"/>
      <c r="I103" s="3"/>
      <c r="J103" s="3"/>
      <c r="K103" s="3"/>
      <c r="L103" s="3"/>
      <c r="M103" s="3"/>
      <c r="N103" s="3"/>
      <c r="O103" s="3"/>
      <c r="P103" s="3"/>
    </row>
    <row r="104" spans="1:16">
      <c r="A104" s="3"/>
      <c r="B104" s="3"/>
      <c r="C104" s="3"/>
      <c r="D104" s="3"/>
      <c r="E104" s="3"/>
      <c r="F104" s="3"/>
      <c r="G104" s="3"/>
      <c r="H104" s="3"/>
      <c r="I104" s="3"/>
      <c r="J104" s="3"/>
      <c r="K104" s="3"/>
      <c r="L104" s="3"/>
      <c r="M104" s="3"/>
      <c r="N104" s="3"/>
      <c r="O104" s="3"/>
      <c r="P104" s="3"/>
    </row>
    <row r="105" spans="1:16">
      <c r="A105" s="3"/>
      <c r="B105" s="3"/>
      <c r="C105" s="3"/>
      <c r="D105" s="3"/>
      <c r="E105" s="3"/>
      <c r="F105" s="3"/>
      <c r="G105" s="3"/>
      <c r="H105" s="3"/>
      <c r="I105" s="3"/>
      <c r="J105" s="3"/>
      <c r="K105" s="3"/>
      <c r="L105" s="3"/>
      <c r="M105" s="3"/>
      <c r="N105" s="3"/>
      <c r="O105" s="3"/>
      <c r="P105" s="3"/>
    </row>
    <row r="106" spans="1:16">
      <c r="A106" s="3"/>
      <c r="B106" s="3"/>
      <c r="C106" s="3"/>
      <c r="D106" s="3"/>
      <c r="E106" s="3"/>
      <c r="F106" s="3"/>
      <c r="G106" s="3"/>
      <c r="H106" s="3"/>
      <c r="I106" s="3"/>
      <c r="J106" s="3"/>
      <c r="K106" s="3"/>
      <c r="L106" s="3"/>
      <c r="M106" s="3"/>
      <c r="N106" s="3"/>
      <c r="O106" s="3"/>
      <c r="P106" s="3"/>
    </row>
    <row r="107" spans="1:16">
      <c r="A107" s="3"/>
      <c r="B107" s="3"/>
      <c r="C107" s="3"/>
      <c r="D107" s="3"/>
      <c r="E107" s="3"/>
      <c r="F107" s="3"/>
      <c r="G107" s="3"/>
      <c r="H107" s="3"/>
      <c r="I107" s="3"/>
      <c r="J107" s="3"/>
      <c r="K107" s="3"/>
      <c r="L107" s="3"/>
      <c r="M107" s="3"/>
      <c r="N107" s="3"/>
      <c r="O107" s="3"/>
      <c r="P107" s="3"/>
    </row>
    <row r="108" spans="1:16">
      <c r="A108" s="3"/>
      <c r="B108" s="3"/>
      <c r="C108" s="3"/>
      <c r="D108" s="3"/>
      <c r="E108" s="3"/>
      <c r="F108" s="3"/>
      <c r="G108" s="3"/>
      <c r="H108" s="3"/>
      <c r="I108" s="3"/>
      <c r="J108" s="3"/>
      <c r="K108" s="3"/>
      <c r="L108" s="3"/>
      <c r="M108" s="3"/>
      <c r="N108" s="3"/>
      <c r="O108" s="3"/>
      <c r="P108" s="3"/>
    </row>
    <row r="109" spans="1:16">
      <c r="A109" s="3"/>
      <c r="B109" s="3"/>
      <c r="C109" s="3"/>
      <c r="D109" s="3"/>
      <c r="E109" s="3"/>
      <c r="F109" s="3"/>
      <c r="G109" s="3"/>
      <c r="H109" s="3"/>
      <c r="I109" s="3"/>
      <c r="J109" s="3"/>
      <c r="K109" s="3"/>
      <c r="L109" s="3"/>
      <c r="M109" s="3"/>
      <c r="N109" s="3"/>
      <c r="O109" s="3"/>
      <c r="P109" s="3"/>
    </row>
    <row r="110" spans="1:16">
      <c r="A110" s="3"/>
      <c r="B110" s="3"/>
      <c r="C110" s="3"/>
      <c r="D110" s="3"/>
      <c r="E110" s="3"/>
      <c r="F110" s="3"/>
      <c r="G110" s="3"/>
      <c r="H110" s="3"/>
      <c r="I110" s="3"/>
      <c r="J110" s="3"/>
      <c r="K110" s="3"/>
      <c r="L110" s="3"/>
      <c r="M110" s="3"/>
      <c r="N110" s="3"/>
      <c r="O110" s="3"/>
      <c r="P110" s="3"/>
    </row>
    <row r="111" spans="1:16">
      <c r="A111" s="3"/>
      <c r="B111" s="3"/>
      <c r="C111" s="3"/>
      <c r="D111" s="3"/>
      <c r="E111" s="3"/>
      <c r="F111" s="3"/>
      <c r="G111" s="3"/>
      <c r="H111" s="3"/>
      <c r="I111" s="3"/>
      <c r="J111" s="3"/>
      <c r="K111" s="3"/>
      <c r="L111" s="3"/>
      <c r="M111" s="3"/>
      <c r="N111" s="3"/>
      <c r="O111" s="3"/>
      <c r="P111" s="3"/>
    </row>
    <row r="112" spans="1:16">
      <c r="A112" s="3"/>
      <c r="B112" s="3"/>
      <c r="C112" s="3"/>
      <c r="D112" s="3"/>
      <c r="E112" s="3"/>
      <c r="F112" s="3"/>
      <c r="G112" s="3"/>
      <c r="H112" s="3"/>
      <c r="I112" s="3"/>
      <c r="J112" s="3"/>
      <c r="K112" s="3"/>
      <c r="L112" s="3"/>
      <c r="M112" s="3"/>
      <c r="N112" s="3"/>
      <c r="O112" s="3"/>
      <c r="P112" s="3"/>
    </row>
    <row r="113" spans="1:16">
      <c r="A113" s="3"/>
      <c r="B113" s="3"/>
      <c r="C113" s="3"/>
      <c r="D113" s="3"/>
      <c r="E113" s="3"/>
      <c r="F113" s="3"/>
      <c r="G113" s="3"/>
      <c r="H113" s="3"/>
      <c r="I113" s="3"/>
      <c r="J113" s="3"/>
      <c r="K113" s="3"/>
      <c r="L113" s="3"/>
      <c r="M113" s="3"/>
      <c r="N113" s="3"/>
      <c r="O113" s="3"/>
      <c r="P113" s="3"/>
    </row>
    <row r="114" spans="1:16">
      <c r="A114" s="3"/>
      <c r="B114" s="3"/>
      <c r="C114" s="3"/>
      <c r="D114" s="3"/>
      <c r="E114" s="3"/>
      <c r="F114" s="3"/>
      <c r="G114" s="3"/>
      <c r="H114" s="3"/>
      <c r="I114" s="3"/>
      <c r="J114" s="3"/>
      <c r="K114" s="3"/>
      <c r="L114" s="3"/>
      <c r="M114" s="3"/>
      <c r="N114" s="3"/>
      <c r="O114" s="3"/>
      <c r="P114" s="3"/>
    </row>
    <row r="115" spans="1:16">
      <c r="A115" s="3"/>
      <c r="B115" s="3"/>
      <c r="C115" s="3"/>
      <c r="D115" s="3"/>
      <c r="E115" s="3"/>
      <c r="F115" s="3"/>
      <c r="G115" s="3"/>
      <c r="H115" s="3"/>
      <c r="I115" s="3"/>
      <c r="J115" s="3"/>
      <c r="K115" s="3"/>
      <c r="L115" s="3"/>
      <c r="M115" s="3"/>
      <c r="N115" s="3"/>
      <c r="O115" s="3"/>
      <c r="P115" s="3"/>
    </row>
    <row r="116" spans="1:16">
      <c r="A116" s="3"/>
      <c r="B116" s="3"/>
      <c r="C116" s="3"/>
      <c r="D116" s="3"/>
      <c r="E116" s="3"/>
      <c r="F116" s="3"/>
      <c r="G116" s="3"/>
      <c r="H116" s="3"/>
      <c r="I116" s="3"/>
      <c r="J116" s="3"/>
      <c r="K116" s="3"/>
      <c r="L116" s="3"/>
      <c r="M116" s="3"/>
      <c r="N116" s="3"/>
      <c r="O116" s="3"/>
      <c r="P116" s="3"/>
    </row>
    <row r="117" spans="1:16">
      <c r="A117" s="3"/>
      <c r="B117" s="3"/>
      <c r="C117" s="3"/>
      <c r="D117" s="3"/>
      <c r="E117" s="3"/>
      <c r="F117" s="3"/>
      <c r="G117" s="3"/>
      <c r="H117" s="3"/>
      <c r="I117" s="3"/>
      <c r="J117" s="3"/>
      <c r="K117" s="3"/>
      <c r="L117" s="3"/>
      <c r="M117" s="3"/>
      <c r="N117" s="3"/>
      <c r="O117" s="3"/>
      <c r="P117" s="3"/>
    </row>
    <row r="118" spans="1:16">
      <c r="A118" s="3"/>
      <c r="B118" s="3"/>
      <c r="C118" s="3"/>
      <c r="D118" s="3"/>
      <c r="E118" s="3"/>
      <c r="F118" s="3"/>
      <c r="G118" s="3"/>
      <c r="H118" s="3"/>
      <c r="I118" s="3"/>
      <c r="J118" s="3"/>
      <c r="K118" s="3"/>
      <c r="L118" s="3"/>
      <c r="M118" s="3"/>
      <c r="N118" s="3"/>
      <c r="O118" s="3"/>
      <c r="P118" s="3"/>
    </row>
    <row r="119" spans="1:16">
      <c r="A119" s="3"/>
      <c r="B119" s="3"/>
      <c r="C119" s="3"/>
      <c r="D119" s="3"/>
      <c r="E119" s="3"/>
      <c r="F119" s="3"/>
      <c r="G119" s="3"/>
      <c r="H119" s="3"/>
      <c r="I119" s="3"/>
      <c r="J119" s="3"/>
      <c r="K119" s="3"/>
      <c r="L119" s="3"/>
      <c r="M119" s="3"/>
      <c r="N119" s="3"/>
      <c r="O119" s="3"/>
      <c r="P119" s="3"/>
    </row>
    <row r="120" spans="1:16">
      <c r="A120" s="3"/>
      <c r="B120" s="3"/>
      <c r="C120" s="3"/>
      <c r="D120" s="3"/>
      <c r="E120" s="3"/>
      <c r="F120" s="3"/>
      <c r="G120" s="3"/>
      <c r="H120" s="3"/>
      <c r="I120" s="3"/>
      <c r="J120" s="3"/>
      <c r="K120" s="3"/>
      <c r="L120" s="3"/>
      <c r="M120" s="3"/>
      <c r="N120" s="3"/>
      <c r="O120" s="3"/>
      <c r="P120" s="3"/>
    </row>
    <row r="121" spans="1:16">
      <c r="A121" s="3"/>
      <c r="B121" s="3"/>
      <c r="C121" s="3"/>
      <c r="D121" s="3"/>
      <c r="E121" s="3"/>
      <c r="F121" s="3"/>
      <c r="G121" s="3"/>
      <c r="H121" s="3"/>
      <c r="I121" s="3"/>
      <c r="J121" s="3"/>
      <c r="K121" s="3"/>
      <c r="L121" s="3"/>
      <c r="M121" s="3"/>
      <c r="N121" s="3"/>
      <c r="O121" s="3"/>
      <c r="P121" s="3"/>
    </row>
    <row r="122" spans="1:16">
      <c r="A122" s="3"/>
      <c r="B122" s="3"/>
      <c r="C122" s="3"/>
      <c r="D122" s="3"/>
      <c r="E122" s="3"/>
      <c r="F122" s="3"/>
      <c r="G122" s="3"/>
      <c r="H122" s="3"/>
      <c r="I122" s="3"/>
      <c r="J122" s="3"/>
      <c r="K122" s="3"/>
      <c r="L122" s="3"/>
      <c r="M122" s="3"/>
      <c r="N122" s="3"/>
      <c r="O122" s="3"/>
      <c r="P122" s="3"/>
    </row>
    <row r="123" spans="1:16">
      <c r="A123" s="3"/>
      <c r="B123" s="3"/>
      <c r="C123" s="3"/>
      <c r="D123" s="3"/>
      <c r="E123" s="3"/>
      <c r="F123" s="3"/>
      <c r="G123" s="3"/>
      <c r="H123" s="3"/>
      <c r="I123" s="3"/>
      <c r="J123" s="3"/>
      <c r="K123" s="3"/>
      <c r="L123" s="3"/>
      <c r="M123" s="3"/>
      <c r="N123" s="3"/>
      <c r="O123" s="3"/>
      <c r="P123" s="3"/>
    </row>
    <row r="124" spans="1:16">
      <c r="A124" s="3"/>
      <c r="B124" s="3"/>
      <c r="C124" s="3"/>
      <c r="D124" s="3"/>
      <c r="E124" s="3"/>
      <c r="F124" s="3"/>
      <c r="G124" s="3"/>
      <c r="H124" s="3"/>
      <c r="I124" s="3"/>
      <c r="J124" s="3"/>
      <c r="K124" s="3"/>
      <c r="L124" s="3"/>
      <c r="M124" s="3"/>
      <c r="N124" s="3"/>
      <c r="O124" s="3"/>
      <c r="P124" s="3"/>
    </row>
    <row r="125" spans="1:16">
      <c r="A125" s="3"/>
      <c r="B125" s="3"/>
      <c r="C125" s="3"/>
      <c r="D125" s="3"/>
      <c r="E125" s="3"/>
      <c r="F125" s="3"/>
      <c r="G125" s="3"/>
      <c r="H125" s="3"/>
      <c r="I125" s="3"/>
      <c r="J125" s="3"/>
      <c r="K125" s="3"/>
      <c r="L125" s="3"/>
      <c r="M125" s="3"/>
      <c r="N125" s="3"/>
      <c r="O125" s="3"/>
      <c r="P125" s="3"/>
    </row>
    <row r="126" spans="1:16">
      <c r="A126" s="3"/>
      <c r="B126" s="3"/>
      <c r="C126" s="3"/>
      <c r="D126" s="3"/>
      <c r="E126" s="3"/>
      <c r="F126" s="3"/>
      <c r="G126" s="3"/>
      <c r="H126" s="3"/>
      <c r="I126" s="3"/>
      <c r="J126" s="3"/>
      <c r="K126" s="3"/>
      <c r="L126" s="3"/>
      <c r="M126" s="3"/>
      <c r="N126" s="3"/>
      <c r="O126" s="3"/>
      <c r="P126" s="3"/>
    </row>
    <row r="127" spans="1:16">
      <c r="A127" s="3"/>
      <c r="B127" s="3"/>
      <c r="C127" s="3"/>
      <c r="D127" s="3"/>
      <c r="E127" s="3"/>
      <c r="F127" s="3"/>
      <c r="G127" s="3"/>
      <c r="H127" s="3"/>
      <c r="I127" s="3"/>
      <c r="J127" s="3"/>
      <c r="K127" s="3"/>
      <c r="L127" s="3"/>
      <c r="M127" s="3"/>
      <c r="N127" s="3"/>
      <c r="O127" s="3"/>
      <c r="P127" s="3"/>
    </row>
    <row r="128" spans="1:16">
      <c r="A128" s="3"/>
      <c r="B128" s="3"/>
      <c r="C128" s="3"/>
      <c r="D128" s="3"/>
      <c r="E128" s="3"/>
      <c r="F128" s="3"/>
      <c r="G128" s="3"/>
      <c r="H128" s="3"/>
      <c r="I128" s="3"/>
      <c r="J128" s="3"/>
      <c r="K128" s="3"/>
      <c r="L128" s="3"/>
      <c r="M128" s="3"/>
      <c r="N128" s="3"/>
      <c r="O128" s="3"/>
      <c r="P128" s="3"/>
    </row>
    <row r="129" spans="1:16">
      <c r="A129" s="3"/>
      <c r="B129" s="3"/>
      <c r="C129" s="3"/>
      <c r="D129" s="3"/>
      <c r="E129" s="3"/>
      <c r="F129" s="3"/>
      <c r="G129" s="3"/>
      <c r="H129" s="3"/>
      <c r="I129" s="3"/>
      <c r="J129" s="3"/>
      <c r="K129" s="3"/>
      <c r="L129" s="3"/>
      <c r="M129" s="3"/>
      <c r="N129" s="3"/>
      <c r="O129" s="3"/>
      <c r="P129" s="3"/>
    </row>
    <row r="130" spans="1:16">
      <c r="A130" s="3"/>
      <c r="B130" s="3"/>
      <c r="C130" s="3"/>
      <c r="D130" s="3"/>
      <c r="E130" s="3"/>
      <c r="F130" s="3"/>
      <c r="G130" s="3"/>
      <c r="H130" s="3"/>
      <c r="I130" s="3"/>
      <c r="J130" s="3"/>
      <c r="K130" s="3"/>
      <c r="L130" s="3"/>
      <c r="M130" s="3"/>
      <c r="N130" s="3"/>
      <c r="O130" s="3"/>
      <c r="P130" s="3"/>
    </row>
    <row r="131" spans="1:16">
      <c r="A131" s="3"/>
      <c r="B131" s="3"/>
      <c r="C131" s="3"/>
      <c r="D131" s="3"/>
      <c r="E131" s="3"/>
      <c r="F131" s="3"/>
      <c r="G131" s="3"/>
      <c r="H131" s="3"/>
      <c r="I131" s="3"/>
      <c r="J131" s="3"/>
      <c r="K131" s="3"/>
      <c r="L131" s="3"/>
      <c r="M131" s="3"/>
      <c r="N131" s="3"/>
      <c r="O131" s="3"/>
      <c r="P131" s="3"/>
    </row>
    <row r="132" spans="1:16">
      <c r="A132" s="3"/>
      <c r="B132" s="3"/>
      <c r="C132" s="3"/>
      <c r="D132" s="3"/>
      <c r="E132" s="3"/>
      <c r="F132" s="3"/>
      <c r="G132" s="3"/>
      <c r="H132" s="3"/>
      <c r="I132" s="3"/>
      <c r="J132" s="3"/>
      <c r="K132" s="3"/>
      <c r="L132" s="3"/>
      <c r="M132" s="3"/>
      <c r="N132" s="3"/>
      <c r="O132" s="3"/>
      <c r="P132" s="3"/>
    </row>
    <row r="133" spans="1:16">
      <c r="A133" s="3"/>
      <c r="B133" s="3"/>
      <c r="C133" s="3"/>
      <c r="D133" s="3"/>
      <c r="E133" s="3"/>
      <c r="F133" s="3"/>
      <c r="G133" s="3"/>
      <c r="H133" s="3"/>
      <c r="I133" s="3"/>
      <c r="J133" s="3"/>
      <c r="K133" s="3"/>
      <c r="L133" s="3"/>
      <c r="M133" s="3"/>
      <c r="N133" s="3"/>
      <c r="O133" s="3"/>
      <c r="P133" s="3"/>
    </row>
    <row r="134" spans="1:16">
      <c r="A134" s="3"/>
      <c r="B134" s="3"/>
      <c r="C134" s="3"/>
      <c r="D134" s="3"/>
      <c r="E134" s="3"/>
      <c r="F134" s="3"/>
      <c r="G134" s="3"/>
      <c r="H134" s="3"/>
      <c r="I134" s="3"/>
      <c r="J134" s="3"/>
      <c r="K134" s="3"/>
      <c r="L134" s="3"/>
      <c r="M134" s="3"/>
      <c r="N134" s="3"/>
      <c r="O134" s="3"/>
      <c r="P134" s="3"/>
    </row>
    <row r="135" spans="1:16">
      <c r="A135" s="3"/>
      <c r="B135" s="3"/>
      <c r="C135" s="3"/>
      <c r="D135" s="3"/>
      <c r="E135" s="3"/>
      <c r="F135" s="3"/>
      <c r="G135" s="3"/>
      <c r="H135" s="3"/>
      <c r="I135" s="3"/>
      <c r="J135" s="3"/>
      <c r="K135" s="3"/>
      <c r="L135" s="3"/>
      <c r="M135" s="3"/>
      <c r="N135" s="3"/>
      <c r="O135" s="3"/>
      <c r="P135" s="3"/>
    </row>
    <row r="136" spans="1:16">
      <c r="A136" s="3"/>
      <c r="B136" s="3"/>
      <c r="C136" s="3"/>
      <c r="D136" s="3"/>
      <c r="E136" s="3"/>
      <c r="F136" s="3"/>
      <c r="G136" s="3"/>
      <c r="H136" s="3"/>
      <c r="I136" s="3"/>
      <c r="J136" s="3"/>
      <c r="K136" s="3"/>
      <c r="L136" s="3"/>
      <c r="M136" s="3"/>
      <c r="N136" s="3"/>
      <c r="O136" s="3"/>
      <c r="P136" s="3"/>
    </row>
    <row r="137" spans="1:16">
      <c r="A137" s="3"/>
      <c r="B137" s="3"/>
      <c r="C137" s="3"/>
      <c r="D137" s="3"/>
      <c r="E137" s="3"/>
      <c r="F137" s="3"/>
      <c r="G137" s="3"/>
      <c r="H137" s="3"/>
      <c r="I137" s="3"/>
      <c r="J137" s="3"/>
      <c r="K137" s="3"/>
      <c r="L137" s="3"/>
      <c r="M137" s="3"/>
      <c r="N137" s="3"/>
      <c r="O137" s="3"/>
      <c r="P137" s="3"/>
    </row>
    <row r="138" spans="1:16">
      <c r="A138" s="3"/>
      <c r="B138" s="3"/>
      <c r="C138" s="3"/>
      <c r="D138" s="3"/>
      <c r="E138" s="3"/>
      <c r="F138" s="3"/>
      <c r="G138" s="3"/>
      <c r="H138" s="3"/>
      <c r="I138" s="3"/>
      <c r="J138" s="3"/>
      <c r="K138" s="3"/>
      <c r="L138" s="3"/>
      <c r="M138" s="3"/>
      <c r="N138" s="3"/>
      <c r="O138" s="3"/>
      <c r="P138" s="3"/>
    </row>
  </sheetData>
  <customSheetViews>
    <customSheetView guid="{6CD8EE95-0586-4107-AE22-F2D40A88A29B}">
      <selection activeCell="C38" sqref="C38"/>
      <pageMargins left="0" right="0" top="0" bottom="0" header="0" footer="0"/>
      <headerFooter alignWithMargins="0"/>
    </customSheetView>
  </customSheetViews>
  <mergeCells count="24">
    <mergeCell ref="A19:A21"/>
    <mergeCell ref="B1:D1"/>
    <mergeCell ref="B9:D9"/>
    <mergeCell ref="A16:F16"/>
    <mergeCell ref="A17:B18"/>
    <mergeCell ref="C17:F17"/>
    <mergeCell ref="E43:E44"/>
    <mergeCell ref="C46:C47"/>
    <mergeCell ref="D46:D47"/>
    <mergeCell ref="F46:F47"/>
    <mergeCell ref="B23:D23"/>
    <mergeCell ref="B31:D31"/>
    <mergeCell ref="B32:B33"/>
    <mergeCell ref="C32:C33"/>
    <mergeCell ref="B39:G39"/>
    <mergeCell ref="B40:C41"/>
    <mergeCell ref="D40:G40"/>
    <mergeCell ref="G46:G47"/>
    <mergeCell ref="F43:F44"/>
    <mergeCell ref="B51:D51"/>
    <mergeCell ref="C60:D60"/>
    <mergeCell ref="B42:B47"/>
    <mergeCell ref="C43:C44"/>
    <mergeCell ref="D43:D44"/>
  </mergeCells>
  <pageMargins left="0.75" right="0.75" top="1" bottom="1" header="0" footer="0"/>
  <pageSetup scale="48" orientation="portrait" r:id="rId1"/>
  <headerFooter alignWithMargins="0"/>
  <rowBreaks count="1" manualBreakCount="1">
    <brk id="38"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H18"/>
  <sheetViews>
    <sheetView zoomScaleNormal="100" zoomScaleSheetLayoutView="100" workbookViewId="0">
      <selection activeCell="C5" sqref="C5"/>
    </sheetView>
  </sheetViews>
  <sheetFormatPr baseColWidth="10" defaultColWidth="8.6640625" defaultRowHeight="13.2"/>
  <cols>
    <col min="1" max="1" width="4.6640625" customWidth="1"/>
    <col min="2" max="2" width="13.33203125" customWidth="1"/>
    <col min="3" max="3" width="20.33203125" customWidth="1"/>
    <col min="4" max="4" width="19.109375" customWidth="1"/>
    <col min="5" max="5" width="24.5546875" customWidth="1"/>
    <col min="6" max="6" width="20.6640625" customWidth="1"/>
    <col min="7" max="7" width="26.88671875" customWidth="1"/>
    <col min="8" max="8" width="16.5546875" customWidth="1"/>
    <col min="9" max="256" width="11.44140625" customWidth="1"/>
  </cols>
  <sheetData>
    <row r="2" spans="1:8" ht="13.8" thickBot="1"/>
    <row r="3" spans="1:8">
      <c r="A3" s="1"/>
      <c r="B3" s="251" t="s">
        <v>205</v>
      </c>
      <c r="C3" s="252"/>
      <c r="D3" s="252"/>
      <c r="E3" s="252"/>
      <c r="F3" s="252"/>
      <c r="G3" s="252"/>
      <c r="H3" s="253"/>
    </row>
    <row r="4" spans="1:8" ht="30" customHeight="1" thickBot="1">
      <c r="A4" s="2"/>
      <c r="B4" s="77" t="s">
        <v>78</v>
      </c>
      <c r="C4" s="77" t="s">
        <v>49</v>
      </c>
      <c r="D4" s="77" t="s">
        <v>53</v>
      </c>
      <c r="E4" s="77" t="s">
        <v>66</v>
      </c>
      <c r="F4" s="77" t="s">
        <v>85</v>
      </c>
      <c r="G4" s="77" t="s">
        <v>206</v>
      </c>
      <c r="H4" s="95" t="s">
        <v>56</v>
      </c>
    </row>
    <row r="5" spans="1:8" ht="72.75" customHeight="1">
      <c r="A5" s="254" t="s">
        <v>207</v>
      </c>
      <c r="B5" s="160" t="s">
        <v>208</v>
      </c>
      <c r="C5" s="160" t="s">
        <v>209</v>
      </c>
      <c r="D5" s="160" t="s">
        <v>210</v>
      </c>
      <c r="E5" s="160" t="s">
        <v>211</v>
      </c>
      <c r="F5" s="160" t="s">
        <v>212</v>
      </c>
      <c r="G5" s="160" t="s">
        <v>213</v>
      </c>
      <c r="H5" s="160" t="s">
        <v>214</v>
      </c>
    </row>
    <row r="6" spans="1:8" ht="64.5" customHeight="1">
      <c r="A6" s="255"/>
      <c r="B6" s="160" t="s">
        <v>215</v>
      </c>
      <c r="C6" s="160" t="s">
        <v>216</v>
      </c>
      <c r="D6" s="160" t="s">
        <v>217</v>
      </c>
      <c r="E6" s="160" t="s">
        <v>218</v>
      </c>
      <c r="F6" s="160" t="s">
        <v>219</v>
      </c>
      <c r="G6" s="160" t="s">
        <v>220</v>
      </c>
      <c r="H6" s="160" t="s">
        <v>221</v>
      </c>
    </row>
    <row r="7" spans="1:8" ht="70.5" customHeight="1">
      <c r="A7" s="255"/>
      <c r="B7" s="160" t="s">
        <v>222</v>
      </c>
      <c r="C7" s="160" t="s">
        <v>223</v>
      </c>
      <c r="D7" s="160" t="s">
        <v>224</v>
      </c>
      <c r="E7" s="160" t="s">
        <v>225</v>
      </c>
      <c r="F7" s="160" t="s">
        <v>226</v>
      </c>
      <c r="G7" s="160" t="s">
        <v>227</v>
      </c>
      <c r="H7" s="160" t="s">
        <v>228</v>
      </c>
    </row>
    <row r="8" spans="1:8" ht="39.75" customHeight="1">
      <c r="A8" s="255"/>
      <c r="B8" s="250" t="s">
        <v>229</v>
      </c>
      <c r="C8" s="160"/>
      <c r="D8" s="250" t="s">
        <v>230</v>
      </c>
      <c r="E8" s="250" t="s">
        <v>231</v>
      </c>
      <c r="F8" s="250" t="s">
        <v>232</v>
      </c>
      <c r="G8" s="250" t="s">
        <v>233</v>
      </c>
      <c r="H8" s="250" t="s">
        <v>234</v>
      </c>
    </row>
    <row r="9" spans="1:8" ht="28.5" customHeight="1">
      <c r="A9" s="255"/>
      <c r="B9" s="250"/>
      <c r="C9" s="160" t="s">
        <v>235</v>
      </c>
      <c r="D9" s="250"/>
      <c r="E9" s="250"/>
      <c r="F9" s="250"/>
      <c r="G9" s="250"/>
      <c r="H9" s="250"/>
    </row>
    <row r="10" spans="1:8" ht="80.099999999999994" customHeight="1">
      <c r="A10" s="255"/>
      <c r="B10" s="160" t="s">
        <v>236</v>
      </c>
      <c r="C10" s="160" t="s">
        <v>237</v>
      </c>
      <c r="D10" s="160" t="s">
        <v>238</v>
      </c>
      <c r="E10" s="160" t="s">
        <v>239</v>
      </c>
      <c r="F10" s="160" t="s">
        <v>240</v>
      </c>
      <c r="G10" s="78" t="s">
        <v>241</v>
      </c>
      <c r="H10" s="160" t="s">
        <v>242</v>
      </c>
    </row>
    <row r="11" spans="1:8" ht="39.75" customHeight="1">
      <c r="A11" s="255"/>
      <c r="B11" s="250" t="s">
        <v>243</v>
      </c>
      <c r="C11" s="160"/>
      <c r="D11" s="250" t="s">
        <v>244</v>
      </c>
      <c r="E11" s="250" t="s">
        <v>245</v>
      </c>
      <c r="F11" s="250" t="s">
        <v>246</v>
      </c>
      <c r="G11" s="250" t="s">
        <v>247</v>
      </c>
      <c r="H11" s="250" t="s">
        <v>248</v>
      </c>
    </row>
    <row r="12" spans="1:8" ht="30.75" customHeight="1">
      <c r="A12" s="255"/>
      <c r="B12" s="250"/>
      <c r="C12" s="160" t="s">
        <v>249</v>
      </c>
      <c r="D12" s="250"/>
      <c r="E12" s="250"/>
      <c r="F12" s="250"/>
      <c r="G12" s="250"/>
      <c r="H12" s="250"/>
    </row>
    <row r="13" spans="1:8" ht="46.5" customHeight="1">
      <c r="A13" s="255"/>
      <c r="B13" s="250" t="s">
        <v>250</v>
      </c>
      <c r="C13" s="246" t="s">
        <v>251</v>
      </c>
      <c r="D13" s="250"/>
      <c r="E13" s="250" t="s">
        <v>252</v>
      </c>
      <c r="F13" s="250" t="s">
        <v>253</v>
      </c>
      <c r="G13" s="250" t="s">
        <v>254</v>
      </c>
      <c r="H13" s="250" t="s">
        <v>255</v>
      </c>
    </row>
    <row r="14" spans="1:8" ht="17.25" customHeight="1">
      <c r="A14" s="255"/>
      <c r="B14" s="250"/>
      <c r="C14" s="246"/>
      <c r="D14" s="250"/>
      <c r="E14" s="250"/>
      <c r="F14" s="250"/>
      <c r="G14" s="250"/>
      <c r="H14" s="250"/>
    </row>
    <row r="15" spans="1:8" ht="25.5" customHeight="1">
      <c r="A15" s="255"/>
      <c r="B15" s="247" t="s">
        <v>256</v>
      </c>
      <c r="C15" s="246"/>
      <c r="D15" s="246"/>
      <c r="E15" s="246"/>
      <c r="F15" s="246"/>
      <c r="G15" s="246" t="s">
        <v>257</v>
      </c>
      <c r="H15" s="246"/>
    </row>
    <row r="16" spans="1:8" ht="35.25" customHeight="1">
      <c r="A16" s="255"/>
      <c r="B16" s="248"/>
      <c r="C16" s="246"/>
      <c r="D16" s="246"/>
      <c r="E16" s="246"/>
      <c r="F16" s="246"/>
      <c r="G16" s="246"/>
      <c r="H16" s="246"/>
    </row>
    <row r="17" spans="1:8" ht="24" customHeight="1">
      <c r="A17" s="255"/>
      <c r="B17" s="249"/>
      <c r="C17" s="246"/>
      <c r="D17" s="246"/>
      <c r="E17" s="246"/>
      <c r="F17" s="246"/>
      <c r="G17" s="246"/>
      <c r="H17" s="246"/>
    </row>
    <row r="18" spans="1:8" ht="36.75" customHeight="1">
      <c r="A18" s="256"/>
      <c r="B18" s="243" t="s">
        <v>258</v>
      </c>
      <c r="C18" s="244"/>
      <c r="D18" s="244"/>
      <c r="E18" s="244"/>
      <c r="F18" s="244"/>
      <c r="G18" s="244"/>
      <c r="H18" s="245"/>
    </row>
  </sheetData>
  <customSheetViews>
    <customSheetView guid="{6CD8EE95-0586-4107-AE22-F2D40A88A29B}" scale="80" showPageBreaks="1" view="pageBreakPreview" topLeftCell="A4">
      <pane ySplit="1" topLeftCell="A5" activePane="bottomLeft" state="frozen"/>
      <selection pane="bottomLeft" activeCell="A5" sqref="A5:A18"/>
      <pageMargins left="0" right="0" top="0" bottom="0" header="0" footer="0"/>
      <pageSetup scale="43" orientation="portrait" r:id="rId1"/>
    </customSheetView>
  </customSheetViews>
  <mergeCells count="29">
    <mergeCell ref="B3:H3"/>
    <mergeCell ref="A5:A18"/>
    <mergeCell ref="B8:B9"/>
    <mergeCell ref="D8:D9"/>
    <mergeCell ref="E8:E9"/>
    <mergeCell ref="F8:F9"/>
    <mergeCell ref="G8:G9"/>
    <mergeCell ref="H8:H9"/>
    <mergeCell ref="B11:B12"/>
    <mergeCell ref="D11:D12"/>
    <mergeCell ref="E11:E12"/>
    <mergeCell ref="F11:F12"/>
    <mergeCell ref="G11:G12"/>
    <mergeCell ref="H11:H12"/>
    <mergeCell ref="B13:B14"/>
    <mergeCell ref="D13:D14"/>
    <mergeCell ref="E13:E14"/>
    <mergeCell ref="F13:F14"/>
    <mergeCell ref="G13:G14"/>
    <mergeCell ref="H13:H14"/>
    <mergeCell ref="C13:C14"/>
    <mergeCell ref="B18:H18"/>
    <mergeCell ref="C15:C17"/>
    <mergeCell ref="D15:D17"/>
    <mergeCell ref="E15:E17"/>
    <mergeCell ref="F15:F17"/>
    <mergeCell ref="G15:G17"/>
    <mergeCell ref="H15:H17"/>
    <mergeCell ref="B15:B17"/>
  </mergeCells>
  <pageMargins left="0.7" right="0.7" top="0.75" bottom="0.75" header="0.3" footer="0.3"/>
  <pageSetup scale="43"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3"/>
  <sheetViews>
    <sheetView zoomScale="110" zoomScaleNormal="100" zoomScaleSheetLayoutView="110" workbookViewId="0">
      <pane ySplit="2" topLeftCell="A3" activePane="bottomLeft" state="frozen"/>
      <selection pane="bottomLeft" activeCell="C6" sqref="C6"/>
    </sheetView>
  </sheetViews>
  <sheetFormatPr baseColWidth="10" defaultColWidth="11.44140625" defaultRowHeight="10.199999999999999"/>
  <cols>
    <col min="1" max="1" width="19" style="80" customWidth="1"/>
    <col min="2" max="2" width="21.44140625" style="80" customWidth="1"/>
    <col min="3" max="3" width="53.109375" style="80" customWidth="1"/>
    <col min="4" max="4" width="47.44140625" style="80" customWidth="1"/>
    <col min="5" max="16384" width="11.44140625" style="80"/>
  </cols>
  <sheetData>
    <row r="1" spans="1:4" ht="10.8" thickBot="1"/>
    <row r="2" spans="1:4" ht="30.75" customHeight="1" thickBot="1">
      <c r="A2" s="93" t="s">
        <v>259</v>
      </c>
      <c r="B2" s="94" t="s">
        <v>260</v>
      </c>
      <c r="C2" s="94" t="s">
        <v>261</v>
      </c>
      <c r="D2" s="93" t="s">
        <v>262</v>
      </c>
    </row>
    <row r="3" spans="1:4" ht="39.75" customHeight="1" thickBot="1">
      <c r="A3" s="257" t="s">
        <v>263</v>
      </c>
      <c r="B3" s="258"/>
      <c r="C3" s="258"/>
      <c r="D3" s="259"/>
    </row>
    <row r="4" spans="1:4" ht="30.6">
      <c r="A4" s="81" t="s">
        <v>264</v>
      </c>
      <c r="B4" s="82" t="s">
        <v>265</v>
      </c>
      <c r="C4" s="83" t="s">
        <v>266</v>
      </c>
      <c r="D4" s="83" t="s">
        <v>267</v>
      </c>
    </row>
    <row r="5" spans="1:4" ht="30.6">
      <c r="A5" s="81" t="s">
        <v>264</v>
      </c>
      <c r="B5" s="82" t="s">
        <v>268</v>
      </c>
      <c r="C5" s="83" t="s">
        <v>269</v>
      </c>
      <c r="D5" s="83" t="s">
        <v>270</v>
      </c>
    </row>
    <row r="6" spans="1:4" ht="30.6">
      <c r="A6" s="84" t="s">
        <v>264</v>
      </c>
      <c r="B6" s="85" t="s">
        <v>271</v>
      </c>
      <c r="C6" s="86" t="s">
        <v>272</v>
      </c>
      <c r="D6" s="86" t="s">
        <v>273</v>
      </c>
    </row>
    <row r="7" spans="1:4" ht="20.399999999999999">
      <c r="A7" s="84" t="s">
        <v>264</v>
      </c>
      <c r="B7" s="85" t="s">
        <v>274</v>
      </c>
      <c r="C7" s="86" t="s">
        <v>275</v>
      </c>
      <c r="D7" s="86" t="s">
        <v>276</v>
      </c>
    </row>
    <row r="8" spans="1:4" ht="21" thickBot="1">
      <c r="A8" s="87" t="s">
        <v>264</v>
      </c>
      <c r="B8" s="88" t="s">
        <v>236</v>
      </c>
      <c r="C8" s="86" t="s">
        <v>277</v>
      </c>
      <c r="D8" s="86" t="s">
        <v>273</v>
      </c>
    </row>
    <row r="9" spans="1:4" ht="30" customHeight="1" thickBot="1">
      <c r="A9" s="257" t="s">
        <v>278</v>
      </c>
      <c r="B9" s="258"/>
      <c r="C9" s="258"/>
      <c r="D9" s="259"/>
    </row>
    <row r="10" spans="1:4" ht="20.399999999999999">
      <c r="A10" s="81" t="s">
        <v>279</v>
      </c>
      <c r="B10" s="82" t="s">
        <v>280</v>
      </c>
      <c r="C10" s="83" t="s">
        <v>281</v>
      </c>
      <c r="D10" s="83" t="s">
        <v>282</v>
      </c>
    </row>
    <row r="11" spans="1:4" ht="20.399999999999999">
      <c r="A11" s="81" t="s">
        <v>279</v>
      </c>
      <c r="B11" s="82" t="s">
        <v>283</v>
      </c>
      <c r="C11" s="83" t="s">
        <v>284</v>
      </c>
      <c r="D11" s="83" t="s">
        <v>282</v>
      </c>
    </row>
    <row r="12" spans="1:4" ht="66" customHeight="1">
      <c r="A12" s="81" t="s">
        <v>279</v>
      </c>
      <c r="B12" s="82" t="s">
        <v>285</v>
      </c>
      <c r="C12" s="83" t="s">
        <v>286</v>
      </c>
      <c r="D12" s="83" t="s">
        <v>287</v>
      </c>
    </row>
    <row r="13" spans="1:4" ht="30.6">
      <c r="A13" s="81" t="s">
        <v>279</v>
      </c>
      <c r="B13" s="82" t="s">
        <v>288</v>
      </c>
      <c r="C13" s="83" t="s">
        <v>289</v>
      </c>
      <c r="D13" s="83" t="s">
        <v>290</v>
      </c>
    </row>
    <row r="14" spans="1:4" ht="57" customHeight="1">
      <c r="A14" s="81" t="s">
        <v>279</v>
      </c>
      <c r="B14" s="82" t="s">
        <v>291</v>
      </c>
      <c r="C14" s="83" t="s">
        <v>292</v>
      </c>
      <c r="D14" s="83" t="s">
        <v>293</v>
      </c>
    </row>
    <row r="15" spans="1:4" ht="112.5" customHeight="1" thickBot="1">
      <c r="A15" s="81" t="s">
        <v>279</v>
      </c>
      <c r="B15" s="82" t="s">
        <v>294</v>
      </c>
      <c r="C15" s="83" t="s">
        <v>295</v>
      </c>
      <c r="D15" s="83" t="s">
        <v>282</v>
      </c>
    </row>
    <row r="16" spans="1:4" ht="28.5" customHeight="1" thickBot="1">
      <c r="A16" s="257" t="s">
        <v>296</v>
      </c>
      <c r="B16" s="258"/>
      <c r="C16" s="258"/>
      <c r="D16" s="259"/>
    </row>
    <row r="17" spans="1:4" ht="20.399999999999999">
      <c r="A17" s="81" t="s">
        <v>297</v>
      </c>
      <c r="B17" s="82" t="s">
        <v>298</v>
      </c>
      <c r="C17" s="83" t="s">
        <v>299</v>
      </c>
      <c r="D17" s="83"/>
    </row>
    <row r="18" spans="1:4" ht="20.399999999999999">
      <c r="A18" s="81" t="s">
        <v>297</v>
      </c>
      <c r="B18" s="82" t="s">
        <v>300</v>
      </c>
      <c r="C18" s="83" t="s">
        <v>301</v>
      </c>
      <c r="D18" s="83" t="s">
        <v>302</v>
      </c>
    </row>
    <row r="19" spans="1:4" ht="93" customHeight="1">
      <c r="A19" s="81" t="s">
        <v>297</v>
      </c>
      <c r="B19" s="82" t="s">
        <v>303</v>
      </c>
      <c r="C19" s="83" t="s">
        <v>304</v>
      </c>
      <c r="D19" s="83" t="s">
        <v>305</v>
      </c>
    </row>
    <row r="20" spans="1:4" ht="82.5" customHeight="1">
      <c r="A20" s="81" t="s">
        <v>297</v>
      </c>
      <c r="B20" s="82" t="s">
        <v>306</v>
      </c>
      <c r="C20" s="83" t="s">
        <v>307</v>
      </c>
      <c r="D20" s="83" t="s">
        <v>305</v>
      </c>
    </row>
    <row r="21" spans="1:4" ht="20.399999999999999">
      <c r="A21" s="81" t="s">
        <v>297</v>
      </c>
      <c r="B21" s="82" t="s">
        <v>308</v>
      </c>
      <c r="C21" s="83" t="s">
        <v>309</v>
      </c>
      <c r="D21" s="83" t="s">
        <v>305</v>
      </c>
    </row>
    <row r="22" spans="1:4" ht="157.5" customHeight="1" thickBot="1">
      <c r="A22" s="81" t="s">
        <v>297</v>
      </c>
      <c r="B22" s="82" t="s">
        <v>310</v>
      </c>
      <c r="C22" s="83" t="s">
        <v>311</v>
      </c>
      <c r="D22" s="83" t="s">
        <v>312</v>
      </c>
    </row>
    <row r="23" spans="1:4" ht="27.75" customHeight="1" thickBot="1">
      <c r="A23" s="257" t="s">
        <v>313</v>
      </c>
      <c r="B23" s="258"/>
      <c r="C23" s="258"/>
      <c r="D23" s="259"/>
    </row>
    <row r="24" spans="1:4" ht="20.399999999999999">
      <c r="A24" s="81" t="s">
        <v>314</v>
      </c>
      <c r="B24" s="82" t="s">
        <v>315</v>
      </c>
      <c r="C24" s="83" t="s">
        <v>316</v>
      </c>
      <c r="D24" s="83" t="s">
        <v>90</v>
      </c>
    </row>
    <row r="25" spans="1:4" ht="51">
      <c r="A25" s="81" t="s">
        <v>314</v>
      </c>
      <c r="B25" s="82" t="s">
        <v>317</v>
      </c>
      <c r="C25" s="83" t="s">
        <v>318</v>
      </c>
      <c r="D25" s="83" t="s">
        <v>319</v>
      </c>
    </row>
    <row r="26" spans="1:4" ht="30.6">
      <c r="A26" s="81" t="s">
        <v>314</v>
      </c>
      <c r="B26" s="82" t="s">
        <v>320</v>
      </c>
      <c r="C26" s="83" t="s">
        <v>321</v>
      </c>
      <c r="D26" s="83" t="s">
        <v>322</v>
      </c>
    </row>
    <row r="27" spans="1:4" ht="73.5" customHeight="1">
      <c r="A27" s="81" t="s">
        <v>314</v>
      </c>
      <c r="B27" s="82" t="s">
        <v>323</v>
      </c>
      <c r="C27" s="83" t="s">
        <v>324</v>
      </c>
      <c r="D27" s="83" t="s">
        <v>325</v>
      </c>
    </row>
    <row r="28" spans="1:4" ht="40.799999999999997">
      <c r="A28" s="81" t="s">
        <v>314</v>
      </c>
      <c r="B28" s="82" t="s">
        <v>326</v>
      </c>
      <c r="C28" s="83" t="s">
        <v>327</v>
      </c>
      <c r="D28" s="83" t="s">
        <v>328</v>
      </c>
    </row>
    <row r="29" spans="1:4" ht="30.6">
      <c r="A29" s="81" t="s">
        <v>314</v>
      </c>
      <c r="B29" s="82" t="s">
        <v>329</v>
      </c>
      <c r="C29" s="83" t="s">
        <v>330</v>
      </c>
      <c r="D29" s="83" t="s">
        <v>331</v>
      </c>
    </row>
    <row r="30" spans="1:4" ht="68.25" customHeight="1">
      <c r="A30" s="81" t="s">
        <v>314</v>
      </c>
      <c r="B30" s="82" t="s">
        <v>332</v>
      </c>
      <c r="C30" s="83" t="s">
        <v>333</v>
      </c>
      <c r="D30" s="83" t="s">
        <v>91</v>
      </c>
    </row>
    <row r="31" spans="1:4" ht="20.399999999999999">
      <c r="A31" s="81" t="s">
        <v>314</v>
      </c>
      <c r="B31" s="82" t="s">
        <v>334</v>
      </c>
      <c r="C31" s="83" t="s">
        <v>333</v>
      </c>
      <c r="D31" s="83" t="s">
        <v>91</v>
      </c>
    </row>
    <row r="32" spans="1:4" ht="61.2">
      <c r="A32" s="81" t="s">
        <v>314</v>
      </c>
      <c r="B32" s="82" t="s">
        <v>335</v>
      </c>
      <c r="C32" s="83" t="s">
        <v>336</v>
      </c>
      <c r="D32" s="83" t="s">
        <v>337</v>
      </c>
    </row>
    <row r="33" spans="1:4" ht="40.799999999999997">
      <c r="A33" s="81" t="s">
        <v>314</v>
      </c>
      <c r="B33" s="82" t="s">
        <v>338</v>
      </c>
      <c r="C33" s="83" t="s">
        <v>339</v>
      </c>
      <c r="D33" s="83" t="s">
        <v>340</v>
      </c>
    </row>
    <row r="34" spans="1:4" ht="105" customHeight="1" thickBot="1">
      <c r="A34" s="81" t="s">
        <v>314</v>
      </c>
      <c r="B34" s="82" t="s">
        <v>341</v>
      </c>
      <c r="C34" s="83" t="s">
        <v>342</v>
      </c>
      <c r="D34" s="83" t="s">
        <v>343</v>
      </c>
    </row>
    <row r="35" spans="1:4" ht="26.25" customHeight="1" thickBot="1">
      <c r="A35" s="257" t="s">
        <v>344</v>
      </c>
      <c r="B35" s="258"/>
      <c r="C35" s="258"/>
      <c r="D35" s="259"/>
    </row>
    <row r="36" spans="1:4" ht="20.399999999999999">
      <c r="A36" s="81" t="s">
        <v>345</v>
      </c>
      <c r="B36" s="82" t="s">
        <v>346</v>
      </c>
      <c r="C36" s="83" t="s">
        <v>347</v>
      </c>
      <c r="D36" s="83" t="s">
        <v>348</v>
      </c>
    </row>
    <row r="37" spans="1:4" ht="106.5" customHeight="1">
      <c r="A37" s="81" t="s">
        <v>345</v>
      </c>
      <c r="B37" s="82" t="s">
        <v>349</v>
      </c>
      <c r="C37" s="83" t="s">
        <v>350</v>
      </c>
      <c r="D37" s="83" t="s">
        <v>348</v>
      </c>
    </row>
    <row r="38" spans="1:4" ht="31.2" thickBot="1">
      <c r="A38" s="81" t="s">
        <v>345</v>
      </c>
      <c r="B38" s="82" t="s">
        <v>351</v>
      </c>
      <c r="C38" s="83" t="s">
        <v>352</v>
      </c>
      <c r="D38" s="83" t="s">
        <v>348</v>
      </c>
    </row>
    <row r="39" spans="1:4" ht="27" customHeight="1" thickBot="1">
      <c r="A39" s="257" t="s">
        <v>353</v>
      </c>
      <c r="B39" s="258"/>
      <c r="C39" s="258"/>
      <c r="D39" s="259"/>
    </row>
    <row r="40" spans="1:4" ht="30.6">
      <c r="A40" s="81" t="s">
        <v>354</v>
      </c>
      <c r="B40" s="82" t="s">
        <v>355</v>
      </c>
      <c r="C40" s="83" t="s">
        <v>356</v>
      </c>
      <c r="D40" s="83" t="s">
        <v>357</v>
      </c>
    </row>
    <row r="41" spans="1:4" ht="30.6">
      <c r="A41" s="81" t="s">
        <v>354</v>
      </c>
      <c r="B41" s="82" t="s">
        <v>358</v>
      </c>
      <c r="C41" s="83" t="s">
        <v>356</v>
      </c>
      <c r="D41" s="83" t="s">
        <v>357</v>
      </c>
    </row>
    <row r="42" spans="1:4" ht="30.6">
      <c r="A42" s="81" t="s">
        <v>354</v>
      </c>
      <c r="B42" s="82" t="s">
        <v>359</v>
      </c>
      <c r="C42" s="83" t="s">
        <v>356</v>
      </c>
      <c r="D42" s="83" t="s">
        <v>357</v>
      </c>
    </row>
    <row r="43" spans="1:4" ht="30.6">
      <c r="A43" s="81" t="s">
        <v>354</v>
      </c>
      <c r="B43" s="82" t="s">
        <v>360</v>
      </c>
      <c r="C43" s="83" t="s">
        <v>356</v>
      </c>
      <c r="D43" s="83" t="s">
        <v>357</v>
      </c>
    </row>
    <row r="44" spans="1:4" ht="30.6">
      <c r="A44" s="81" t="s">
        <v>354</v>
      </c>
      <c r="B44" s="82" t="s">
        <v>361</v>
      </c>
      <c r="C44" s="83" t="s">
        <v>356</v>
      </c>
      <c r="D44" s="83" t="s">
        <v>357</v>
      </c>
    </row>
    <row r="45" spans="1:4" ht="30.6">
      <c r="A45" s="81" t="s">
        <v>354</v>
      </c>
      <c r="B45" s="82" t="s">
        <v>362</v>
      </c>
      <c r="C45" s="83" t="s">
        <v>356</v>
      </c>
      <c r="D45" s="83" t="s">
        <v>357</v>
      </c>
    </row>
    <row r="46" spans="1:4" ht="30.6">
      <c r="A46" s="81" t="s">
        <v>354</v>
      </c>
      <c r="B46" s="82" t="s">
        <v>363</v>
      </c>
      <c r="C46" s="83" t="s">
        <v>356</v>
      </c>
      <c r="D46" s="83" t="s">
        <v>357</v>
      </c>
    </row>
    <row r="47" spans="1:4" ht="30.6">
      <c r="A47" s="81" t="s">
        <v>354</v>
      </c>
      <c r="B47" s="82" t="s">
        <v>364</v>
      </c>
      <c r="C47" s="83" t="s">
        <v>356</v>
      </c>
      <c r="D47" s="83" t="s">
        <v>357</v>
      </c>
    </row>
    <row r="48" spans="1:4" ht="30.6">
      <c r="A48" s="81" t="s">
        <v>354</v>
      </c>
      <c r="B48" s="82" t="s">
        <v>365</v>
      </c>
      <c r="C48" s="83" t="s">
        <v>356</v>
      </c>
      <c r="D48" s="83" t="s">
        <v>357</v>
      </c>
    </row>
    <row r="49" spans="1:4" ht="30.6">
      <c r="A49" s="81" t="s">
        <v>354</v>
      </c>
      <c r="B49" s="82" t="s">
        <v>366</v>
      </c>
      <c r="C49" s="83" t="s">
        <v>356</v>
      </c>
      <c r="D49" s="83" t="s">
        <v>357</v>
      </c>
    </row>
    <row r="50" spans="1:4" ht="30.6">
      <c r="A50" s="81" t="s">
        <v>354</v>
      </c>
      <c r="B50" s="82" t="s">
        <v>367</v>
      </c>
      <c r="C50" s="83" t="s">
        <v>356</v>
      </c>
      <c r="D50" s="83" t="s">
        <v>357</v>
      </c>
    </row>
    <row r="51" spans="1:4" ht="20.399999999999999">
      <c r="A51" s="81" t="s">
        <v>354</v>
      </c>
      <c r="B51" s="82" t="s">
        <v>368</v>
      </c>
      <c r="C51" s="83" t="s">
        <v>369</v>
      </c>
      <c r="D51" s="83" t="s">
        <v>357</v>
      </c>
    </row>
    <row r="52" spans="1:4" ht="56.25" customHeight="1" thickBot="1">
      <c r="A52" s="81" t="s">
        <v>354</v>
      </c>
      <c r="B52" s="82" t="s">
        <v>370</v>
      </c>
      <c r="C52" s="83" t="s">
        <v>371</v>
      </c>
      <c r="D52" s="83" t="s">
        <v>357</v>
      </c>
    </row>
    <row r="53" spans="1:4" ht="28.5" customHeight="1" thickBot="1">
      <c r="A53" s="257" t="s">
        <v>372</v>
      </c>
      <c r="B53" s="258"/>
      <c r="C53" s="258"/>
      <c r="D53" s="259"/>
    </row>
    <row r="54" spans="1:4" ht="30.6">
      <c r="A54" s="81" t="s">
        <v>373</v>
      </c>
      <c r="B54" s="82" t="s">
        <v>374</v>
      </c>
      <c r="C54" s="83" t="s">
        <v>375</v>
      </c>
      <c r="D54" s="83" t="s">
        <v>376</v>
      </c>
    </row>
    <row r="55" spans="1:4" ht="20.399999999999999">
      <c r="A55" s="81" t="s">
        <v>373</v>
      </c>
      <c r="B55" s="82" t="s">
        <v>377</v>
      </c>
      <c r="C55" s="83" t="s">
        <v>378</v>
      </c>
      <c r="D55" s="83" t="s">
        <v>379</v>
      </c>
    </row>
    <row r="56" spans="1:4" ht="30.6">
      <c r="A56" s="81" t="s">
        <v>373</v>
      </c>
      <c r="B56" s="82" t="s">
        <v>380</v>
      </c>
      <c r="C56" s="83" t="s">
        <v>381</v>
      </c>
      <c r="D56" s="83" t="s">
        <v>382</v>
      </c>
    </row>
    <row r="57" spans="1:4">
      <c r="A57" s="81" t="s">
        <v>373</v>
      </c>
      <c r="B57" s="82" t="s">
        <v>383</v>
      </c>
      <c r="C57" s="83" t="s">
        <v>384</v>
      </c>
      <c r="D57" s="83" t="s">
        <v>385</v>
      </c>
    </row>
    <row r="58" spans="1:4" ht="20.399999999999999">
      <c r="A58" s="81" t="s">
        <v>373</v>
      </c>
      <c r="B58" s="89" t="s">
        <v>386</v>
      </c>
      <c r="C58" s="50" t="s">
        <v>387</v>
      </c>
      <c r="D58" s="90" t="s">
        <v>388</v>
      </c>
    </row>
    <row r="59" spans="1:4" ht="20.399999999999999">
      <c r="A59" s="81" t="s">
        <v>373</v>
      </c>
      <c r="B59" s="89" t="s">
        <v>389</v>
      </c>
      <c r="C59" s="50" t="s">
        <v>390</v>
      </c>
      <c r="D59" s="90" t="s">
        <v>391</v>
      </c>
    </row>
    <row r="60" spans="1:4" ht="31.2" thickBot="1">
      <c r="A60" s="81" t="s">
        <v>373</v>
      </c>
      <c r="B60" s="89" t="s">
        <v>392</v>
      </c>
      <c r="C60" s="50" t="s">
        <v>393</v>
      </c>
      <c r="D60" s="90" t="s">
        <v>394</v>
      </c>
    </row>
    <row r="61" spans="1:4" ht="52.5" customHeight="1" thickBot="1">
      <c r="A61" s="257" t="s">
        <v>395</v>
      </c>
      <c r="B61" s="258"/>
      <c r="C61" s="258"/>
      <c r="D61" s="259"/>
    </row>
    <row r="62" spans="1:4" ht="31.2" thickBot="1">
      <c r="A62" s="81" t="s">
        <v>396</v>
      </c>
      <c r="B62" s="91" t="s">
        <v>397</v>
      </c>
      <c r="C62" s="50" t="s">
        <v>398</v>
      </c>
      <c r="D62" s="92" t="s">
        <v>399</v>
      </c>
    </row>
    <row r="63" spans="1:4" ht="15" customHeight="1" thickBot="1">
      <c r="A63" s="257" t="s">
        <v>400</v>
      </c>
      <c r="B63" s="258"/>
      <c r="C63" s="258"/>
      <c r="D63" s="259"/>
    </row>
    <row r="64" spans="1:4" ht="20.399999999999999">
      <c r="A64" s="81" t="s">
        <v>401</v>
      </c>
      <c r="B64" s="82" t="s">
        <v>402</v>
      </c>
      <c r="C64" s="83" t="s">
        <v>403</v>
      </c>
      <c r="D64" s="83" t="s">
        <v>93</v>
      </c>
    </row>
    <row r="65" spans="1:4" ht="20.399999999999999">
      <c r="A65" s="81" t="s">
        <v>404</v>
      </c>
      <c r="B65" s="82" t="s">
        <v>405</v>
      </c>
      <c r="C65" s="83" t="s">
        <v>406</v>
      </c>
      <c r="D65" s="83" t="s">
        <v>407</v>
      </c>
    </row>
    <row r="66" spans="1:4" ht="40.799999999999997">
      <c r="A66" s="81" t="s">
        <v>404</v>
      </c>
      <c r="B66" s="82" t="s">
        <v>408</v>
      </c>
      <c r="C66" s="83" t="s">
        <v>409</v>
      </c>
      <c r="D66" s="83" t="s">
        <v>407</v>
      </c>
    </row>
    <row r="67" spans="1:4" ht="31.2" thickBot="1">
      <c r="A67" s="81" t="s">
        <v>404</v>
      </c>
      <c r="B67" s="82" t="s">
        <v>410</v>
      </c>
      <c r="C67" s="83" t="s">
        <v>411</v>
      </c>
      <c r="D67" s="83" t="s">
        <v>407</v>
      </c>
    </row>
    <row r="68" spans="1:4" ht="36.75" customHeight="1" thickBot="1">
      <c r="A68" s="257" t="s">
        <v>412</v>
      </c>
      <c r="B68" s="258"/>
      <c r="C68" s="258"/>
      <c r="D68" s="259"/>
    </row>
    <row r="69" spans="1:4" ht="30.6">
      <c r="A69" s="81" t="s">
        <v>413</v>
      </c>
      <c r="B69" s="82" t="s">
        <v>414</v>
      </c>
      <c r="C69" s="83" t="s">
        <v>415</v>
      </c>
      <c r="D69" s="83" t="s">
        <v>416</v>
      </c>
    </row>
    <row r="70" spans="1:4" ht="40.799999999999997">
      <c r="A70" s="81" t="s">
        <v>413</v>
      </c>
      <c r="B70" s="82" t="s">
        <v>417</v>
      </c>
      <c r="C70" s="83" t="s">
        <v>418</v>
      </c>
      <c r="D70" s="83" t="s">
        <v>419</v>
      </c>
    </row>
    <row r="71" spans="1:4" ht="92.4" thickBot="1">
      <c r="A71" s="81" t="s">
        <v>413</v>
      </c>
      <c r="B71" s="82" t="s">
        <v>420</v>
      </c>
      <c r="C71" s="83" t="s">
        <v>421</v>
      </c>
      <c r="D71" s="83" t="s">
        <v>422</v>
      </c>
    </row>
    <row r="72" spans="1:4" ht="10.8" thickBot="1">
      <c r="A72" s="257" t="s">
        <v>423</v>
      </c>
      <c r="B72" s="258"/>
      <c r="C72" s="258"/>
      <c r="D72" s="259"/>
    </row>
    <row r="73" spans="1:4" ht="30.6">
      <c r="A73" s="81" t="s">
        <v>424</v>
      </c>
      <c r="B73" s="82" t="s">
        <v>425</v>
      </c>
      <c r="C73" s="83" t="s">
        <v>426</v>
      </c>
      <c r="D73" s="83" t="s">
        <v>427</v>
      </c>
    </row>
    <row r="74" spans="1:4" ht="40.799999999999997">
      <c r="A74" s="81" t="s">
        <v>428</v>
      </c>
      <c r="B74" s="82" t="s">
        <v>429</v>
      </c>
      <c r="C74" s="83" t="s">
        <v>430</v>
      </c>
      <c r="D74" s="83" t="s">
        <v>431</v>
      </c>
    </row>
    <row r="75" spans="1:4" ht="81.599999999999994">
      <c r="A75" s="81" t="s">
        <v>428</v>
      </c>
      <c r="B75" s="82" t="s">
        <v>432</v>
      </c>
      <c r="C75" s="83" t="s">
        <v>433</v>
      </c>
      <c r="D75" s="83" t="s">
        <v>434</v>
      </c>
    </row>
    <row r="76" spans="1:4" ht="30.6">
      <c r="A76" s="81" t="s">
        <v>428</v>
      </c>
      <c r="B76" s="82" t="s">
        <v>435</v>
      </c>
      <c r="C76" s="83" t="s">
        <v>436</v>
      </c>
      <c r="D76" s="83" t="s">
        <v>437</v>
      </c>
    </row>
    <row r="77" spans="1:4" ht="41.4" thickBot="1">
      <c r="A77" s="81" t="s">
        <v>428</v>
      </c>
      <c r="B77" s="82" t="s">
        <v>438</v>
      </c>
      <c r="C77" s="83" t="s">
        <v>439</v>
      </c>
      <c r="D77" s="83" t="s">
        <v>92</v>
      </c>
    </row>
    <row r="78" spans="1:4" ht="10.8" thickBot="1">
      <c r="A78" s="257" t="s">
        <v>440</v>
      </c>
      <c r="B78" s="258"/>
      <c r="C78" s="258"/>
      <c r="D78" s="259"/>
    </row>
    <row r="79" spans="1:4" ht="67.5" customHeight="1">
      <c r="A79" s="81" t="s">
        <v>441</v>
      </c>
      <c r="B79" s="82" t="s">
        <v>442</v>
      </c>
      <c r="C79" s="83" t="s">
        <v>443</v>
      </c>
      <c r="D79" s="83" t="s">
        <v>444</v>
      </c>
    </row>
    <row r="80" spans="1:4" ht="31.2" thickBot="1">
      <c r="A80" s="81" t="s">
        <v>441</v>
      </c>
      <c r="B80" s="89" t="s">
        <v>445</v>
      </c>
      <c r="C80" s="50" t="s">
        <v>446</v>
      </c>
      <c r="D80" s="90" t="s">
        <v>447</v>
      </c>
    </row>
    <row r="81" spans="1:4" ht="10.8" thickBot="1">
      <c r="A81" s="257" t="s">
        <v>448</v>
      </c>
      <c r="B81" s="258"/>
      <c r="C81" s="258"/>
      <c r="D81" s="259"/>
    </row>
    <row r="82" spans="1:4" ht="20.399999999999999">
      <c r="A82" s="81" t="s">
        <v>449</v>
      </c>
      <c r="B82" s="82" t="s">
        <v>450</v>
      </c>
      <c r="C82" s="83" t="s">
        <v>451</v>
      </c>
      <c r="D82" s="83" t="s">
        <v>452</v>
      </c>
    </row>
    <row r="83" spans="1:4">
      <c r="A83" s="79"/>
      <c r="B83" s="79"/>
      <c r="C83" s="79"/>
      <c r="D83" s="79"/>
    </row>
  </sheetData>
  <customSheetViews>
    <customSheetView guid="{6CD8EE95-0586-4107-AE22-F2D40A88A29B}" scale="60" showPageBreaks="1" view="pageBreakPreview">
      <pane ySplit="3" topLeftCell="A22" activePane="bottomLeft" state="frozen"/>
      <selection pane="bottomLeft" activeCell="D27" sqref="D27"/>
      <pageMargins left="0" right="0" top="0" bottom="0" header="0" footer="0"/>
      <pageSetup scale="59" orientation="portrait" r:id="rId1"/>
    </customSheetView>
  </customSheetViews>
  <mergeCells count="13">
    <mergeCell ref="A78:D78"/>
    <mergeCell ref="A81:D81"/>
    <mergeCell ref="A3:D3"/>
    <mergeCell ref="A9:D9"/>
    <mergeCell ref="A16:D16"/>
    <mergeCell ref="A23:D23"/>
    <mergeCell ref="A35:D35"/>
    <mergeCell ref="A39:D39"/>
    <mergeCell ref="A53:D53"/>
    <mergeCell ref="A61:D61"/>
    <mergeCell ref="A63:D63"/>
    <mergeCell ref="A68:D68"/>
    <mergeCell ref="A72:D72"/>
  </mergeCells>
  <pageMargins left="0.70866141732283472" right="0.70866141732283472" top="0.74803149606299213" bottom="0.74803149606299213" header="0.31496062992125984" footer="0.31496062992125984"/>
  <pageSetup scale="5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6"/>
  <sheetViews>
    <sheetView topLeftCell="A52" workbookViewId="0">
      <selection activeCell="A54" sqref="A54"/>
    </sheetView>
  </sheetViews>
  <sheetFormatPr baseColWidth="10" defaultColWidth="11.44140625" defaultRowHeight="13.8"/>
  <cols>
    <col min="1" max="1" width="32.6640625" style="36" customWidth="1"/>
    <col min="2" max="2" width="70.6640625" style="4" customWidth="1"/>
    <col min="3" max="3" width="17.6640625" style="4" customWidth="1"/>
    <col min="4" max="4" width="31" style="4" customWidth="1"/>
    <col min="5" max="16384" width="11.44140625" style="4"/>
  </cols>
  <sheetData>
    <row r="1" spans="1:5">
      <c r="A1" s="37"/>
      <c r="B1" s="38"/>
    </row>
    <row r="2" spans="1:5" ht="28.5" customHeight="1">
      <c r="A2" s="39" t="s">
        <v>453</v>
      </c>
      <c r="B2" s="39" t="s">
        <v>454</v>
      </c>
    </row>
    <row r="3" spans="1:5">
      <c r="A3" s="260" t="s">
        <v>323</v>
      </c>
      <c r="B3" s="40" t="s">
        <v>455</v>
      </c>
      <c r="E3" s="34"/>
    </row>
    <row r="4" spans="1:5">
      <c r="A4" s="261"/>
      <c r="B4" s="40" t="s">
        <v>456</v>
      </c>
      <c r="E4" s="34"/>
    </row>
    <row r="5" spans="1:5">
      <c r="A5" s="261"/>
      <c r="B5" s="40" t="s">
        <v>457</v>
      </c>
      <c r="E5" s="34"/>
    </row>
    <row r="6" spans="1:5">
      <c r="A6" s="261"/>
      <c r="B6" s="40" t="s">
        <v>458</v>
      </c>
      <c r="E6" s="34"/>
    </row>
    <row r="7" spans="1:5">
      <c r="A7" s="261"/>
      <c r="B7" s="40" t="s">
        <v>459</v>
      </c>
      <c r="E7" s="34"/>
    </row>
    <row r="8" spans="1:5">
      <c r="A8" s="261"/>
      <c r="B8" s="40" t="s">
        <v>460</v>
      </c>
      <c r="E8" s="34"/>
    </row>
    <row r="9" spans="1:5">
      <c r="A9" s="261"/>
      <c r="B9" s="40" t="s">
        <v>461</v>
      </c>
      <c r="E9" s="34"/>
    </row>
    <row r="10" spans="1:5" ht="37.5" customHeight="1">
      <c r="A10" s="261"/>
      <c r="B10" s="41" t="s">
        <v>462</v>
      </c>
      <c r="E10" s="35"/>
    </row>
    <row r="11" spans="1:5">
      <c r="A11" s="262"/>
      <c r="B11" s="40" t="s">
        <v>463</v>
      </c>
      <c r="E11" s="34"/>
    </row>
    <row r="12" spans="1:5">
      <c r="A12" s="260" t="s">
        <v>464</v>
      </c>
      <c r="B12" s="40" t="s">
        <v>457</v>
      </c>
    </row>
    <row r="13" spans="1:5">
      <c r="A13" s="262"/>
      <c r="B13" s="40" t="s">
        <v>465</v>
      </c>
    </row>
    <row r="14" spans="1:5">
      <c r="A14" s="260" t="s">
        <v>466</v>
      </c>
      <c r="B14" s="40" t="s">
        <v>467</v>
      </c>
    </row>
    <row r="15" spans="1:5">
      <c r="A15" s="261"/>
      <c r="B15" s="40" t="s">
        <v>468</v>
      </c>
    </row>
    <row r="16" spans="1:5">
      <c r="A16" s="261"/>
      <c r="B16" s="41" t="s">
        <v>469</v>
      </c>
    </row>
    <row r="17" spans="1:2">
      <c r="A17" s="261"/>
      <c r="B17" s="42" t="s">
        <v>51</v>
      </c>
    </row>
    <row r="18" spans="1:2">
      <c r="A18" s="261"/>
      <c r="B18" s="40" t="s">
        <v>470</v>
      </c>
    </row>
    <row r="19" spans="1:2">
      <c r="A19" s="261"/>
      <c r="B19" s="40" t="s">
        <v>471</v>
      </c>
    </row>
    <row r="20" spans="1:2">
      <c r="A20" s="262"/>
      <c r="B20" s="40" t="s">
        <v>472</v>
      </c>
    </row>
    <row r="21" spans="1:2">
      <c r="A21" s="260" t="s">
        <v>473</v>
      </c>
      <c r="B21" s="40" t="s">
        <v>474</v>
      </c>
    </row>
    <row r="22" spans="1:2">
      <c r="A22" s="261"/>
      <c r="B22" s="40" t="s">
        <v>475</v>
      </c>
    </row>
    <row r="23" spans="1:2">
      <c r="A23" s="262"/>
      <c r="B23" s="40" t="s">
        <v>51</v>
      </c>
    </row>
    <row r="24" spans="1:2">
      <c r="A24" s="260" t="s">
        <v>476</v>
      </c>
      <c r="B24" s="43" t="s">
        <v>477</v>
      </c>
    </row>
    <row r="25" spans="1:2">
      <c r="A25" s="261"/>
      <c r="B25" s="43" t="s">
        <v>478</v>
      </c>
    </row>
    <row r="26" spans="1:2" ht="38.25" customHeight="1">
      <c r="A26" s="261"/>
      <c r="B26" s="49" t="s">
        <v>479</v>
      </c>
    </row>
    <row r="27" spans="1:2" ht="38.25" customHeight="1">
      <c r="A27" s="261"/>
      <c r="B27" s="49" t="s">
        <v>480</v>
      </c>
    </row>
    <row r="28" spans="1:2" ht="39.75" customHeight="1">
      <c r="A28" s="261"/>
      <c r="B28" s="49" t="s">
        <v>481</v>
      </c>
    </row>
    <row r="29" spans="1:2">
      <c r="A29" s="261"/>
      <c r="B29" s="43" t="s">
        <v>482</v>
      </c>
    </row>
    <row r="30" spans="1:2">
      <c r="A30" s="262"/>
      <c r="B30" s="43" t="s">
        <v>483</v>
      </c>
    </row>
    <row r="31" spans="1:2">
      <c r="A31" s="260" t="s">
        <v>475</v>
      </c>
      <c r="B31" s="42" t="s">
        <v>484</v>
      </c>
    </row>
    <row r="32" spans="1:2">
      <c r="A32" s="261"/>
      <c r="B32" s="42" t="s">
        <v>485</v>
      </c>
    </row>
    <row r="33" spans="1:2">
      <c r="A33" s="261"/>
      <c r="B33" s="42" t="s">
        <v>486</v>
      </c>
    </row>
    <row r="34" spans="1:2">
      <c r="A34" s="261"/>
      <c r="B34" s="41" t="s">
        <v>487</v>
      </c>
    </row>
    <row r="35" spans="1:2" ht="52.8">
      <c r="A35" s="261"/>
      <c r="B35" s="48" t="s">
        <v>488</v>
      </c>
    </row>
    <row r="36" spans="1:2" ht="52.8">
      <c r="A36" s="261"/>
      <c r="B36" s="48" t="s">
        <v>489</v>
      </c>
    </row>
    <row r="37" spans="1:2">
      <c r="A37" s="261"/>
      <c r="B37" s="42" t="s">
        <v>490</v>
      </c>
    </row>
    <row r="38" spans="1:2">
      <c r="A38" s="261"/>
      <c r="B38" s="42" t="s">
        <v>491</v>
      </c>
    </row>
    <row r="39" spans="1:2">
      <c r="A39" s="262"/>
      <c r="B39" s="42" t="s">
        <v>457</v>
      </c>
    </row>
    <row r="40" spans="1:2">
      <c r="A40" s="260" t="s">
        <v>492</v>
      </c>
      <c r="B40" s="42" t="s">
        <v>493</v>
      </c>
    </row>
    <row r="41" spans="1:2">
      <c r="A41" s="261"/>
      <c r="B41" s="42" t="s">
        <v>494</v>
      </c>
    </row>
    <row r="42" spans="1:2">
      <c r="A42" s="261"/>
      <c r="B42" s="42" t="s">
        <v>495</v>
      </c>
    </row>
    <row r="43" spans="1:2">
      <c r="A43" s="262"/>
      <c r="B43" s="42" t="s">
        <v>496</v>
      </c>
    </row>
    <row r="44" spans="1:2">
      <c r="A44" s="260" t="s">
        <v>497</v>
      </c>
      <c r="B44" s="42" t="s">
        <v>498</v>
      </c>
    </row>
    <row r="45" spans="1:2">
      <c r="A45" s="261"/>
      <c r="B45" s="42" t="s">
        <v>499</v>
      </c>
    </row>
    <row r="46" spans="1:2">
      <c r="A46" s="262"/>
      <c r="B46" s="42" t="s">
        <v>457</v>
      </c>
    </row>
    <row r="47" spans="1:2" ht="23.25" customHeight="1">
      <c r="A47" s="44" t="s">
        <v>500</v>
      </c>
      <c r="B47" s="45" t="s">
        <v>501</v>
      </c>
    </row>
    <row r="48" spans="1:2">
      <c r="A48" s="39" t="s">
        <v>502</v>
      </c>
      <c r="B48" s="39" t="s">
        <v>454</v>
      </c>
    </row>
    <row r="49" spans="1:2">
      <c r="A49" s="46" t="s">
        <v>208</v>
      </c>
      <c r="B49" s="40" t="s">
        <v>503</v>
      </c>
    </row>
    <row r="50" spans="1:2">
      <c r="A50" s="46" t="s">
        <v>215</v>
      </c>
      <c r="B50" s="40" t="s">
        <v>504</v>
      </c>
    </row>
    <row r="51" spans="1:2">
      <c r="A51" s="46" t="s">
        <v>222</v>
      </c>
      <c r="B51" s="40" t="s">
        <v>505</v>
      </c>
    </row>
    <row r="52" spans="1:2" ht="26.4">
      <c r="A52" s="47" t="s">
        <v>506</v>
      </c>
      <c r="B52" s="40"/>
    </row>
    <row r="53" spans="1:2">
      <c r="A53" s="46" t="s">
        <v>236</v>
      </c>
      <c r="B53" s="40"/>
    </row>
    <row r="54" spans="1:2">
      <c r="A54" s="46" t="s">
        <v>243</v>
      </c>
      <c r="B54" s="40"/>
    </row>
    <row r="55" spans="1:2">
      <c r="A55" s="46" t="s">
        <v>250</v>
      </c>
      <c r="B55" s="41"/>
    </row>
    <row r="56" spans="1:2">
      <c r="A56" s="47" t="s">
        <v>256</v>
      </c>
      <c r="B56" s="40"/>
    </row>
  </sheetData>
  <customSheetViews>
    <customSheetView guid="{6CD8EE95-0586-4107-AE22-F2D40A88A29B}" state="hidden" topLeftCell="A31">
      <selection activeCell="B35" sqref="B35"/>
      <pageMargins left="0" right="0" top="0" bottom="0" header="0" footer="0"/>
      <headerFooter alignWithMargins="0"/>
    </customSheetView>
  </customSheetViews>
  <mergeCells count="8">
    <mergeCell ref="A40:A43"/>
    <mergeCell ref="A44:A46"/>
    <mergeCell ref="A3:A11"/>
    <mergeCell ref="A12:A13"/>
    <mergeCell ref="A14:A20"/>
    <mergeCell ref="A21:A23"/>
    <mergeCell ref="A24:A30"/>
    <mergeCell ref="A31:A39"/>
  </mergeCells>
  <pageMargins left="0.75" right="0.75" top="1" bottom="1" header="0" footer="0"/>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5E1D448C12D94DBC727CB390CAF6CC" ma:contentTypeVersion="8" ma:contentTypeDescription="Create a new document." ma:contentTypeScope="" ma:versionID="adf4f9a3e775c213f827a03c18f5ac35">
  <xsd:schema xmlns:xsd="http://www.w3.org/2001/XMLSchema" xmlns:xs="http://www.w3.org/2001/XMLSchema" xmlns:p="http://schemas.microsoft.com/office/2006/metadata/properties" xmlns:ns3="e7bb1c1b-52b8-4341-8f9d-b81dc22919cc" targetNamespace="http://schemas.microsoft.com/office/2006/metadata/properties" ma:root="true" ma:fieldsID="c2644f5c5b544d2d4885bb7cf4b6758d" ns3:_="">
    <xsd:import namespace="e7bb1c1b-52b8-4341-8f9d-b81dc22919c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bb1c1b-52b8-4341-8f9d-b81dc22919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D4D89F-DB2D-477E-A644-24358F56969D}">
  <ds:schemaRefs>
    <ds:schemaRef ds:uri="http://schemas.microsoft.com/sharepoint/v3/contenttype/forms"/>
  </ds:schemaRefs>
</ds:datastoreItem>
</file>

<file path=customXml/itemProps2.xml><?xml version="1.0" encoding="utf-8"?>
<ds:datastoreItem xmlns:ds="http://schemas.openxmlformats.org/officeDocument/2006/customXml" ds:itemID="{C2E2BBAF-9011-4902-B6EA-2A6D0D94E3B0}">
  <ds:schemaRefs>
    <ds:schemaRef ds:uri="e7bb1c1b-52b8-4341-8f9d-b81dc22919cc"/>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B0E58E9-1DC8-4D9F-98F4-2460944768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bb1c1b-52b8-4341-8f9d-b81dc22919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Plasticos Rosso</vt:lpstr>
      <vt:lpstr>Actualizaciones</vt:lpstr>
      <vt:lpstr>Tabla de Valoración </vt:lpstr>
      <vt:lpstr>Lista Riesgos !</vt:lpstr>
      <vt:lpstr>Lista Riesgos</vt:lpstr>
      <vt:lpstr>EFECTOS</vt:lpstr>
      <vt:lpstr>'Tabla de Valoración '!Área_de_impresión</vt:lpstr>
      <vt:lpstr>'Lista Riesgos'!Títulos_a_imprimir</vt:lpstr>
    </vt:vector>
  </TitlesOfParts>
  <Manager/>
  <Company>AES GESTIOM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AES GESTIOM</dc:creator>
  <cp:keywords/>
  <dc:description/>
  <cp:lastModifiedBy>Rocio Velandia</cp:lastModifiedBy>
  <cp:revision/>
  <dcterms:created xsi:type="dcterms:W3CDTF">2005-03-25T22:58:25Z</dcterms:created>
  <dcterms:modified xsi:type="dcterms:W3CDTF">2025-05-29T18:34:24Z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2022-09-20T13:19:09Z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f2b834ec-8bcf-4494-8726-af6587dfa6f9</vt:lpwstr>
  </property>
  <property fmtid="{D5CDD505-2E9C-101B-9397-08002B2CF9AE}" pid="8" name="MSIP_Label_38f1469a-2c2a-4aee-b92b-090d4c5468ff_ContentBits">
    <vt:lpwstr>0</vt:lpwstr>
  </property>
  <property fmtid="{D5CDD505-2E9C-101B-9397-08002B2CF9AE}" pid="9" name="ContentTypeId">
    <vt:lpwstr>0x010100655E1D448C12D94DBC727CB390CAF6CC</vt:lpwstr>
  </property>
</Properties>
</file>